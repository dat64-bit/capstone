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dat2\Downloads\"/>
    </mc:Choice>
  </mc:AlternateContent>
  <xr:revisionPtr revIDLastSave="0" documentId="13_ncr:1_{EFB2F073-A768-485F-890F-C8FC5F3808B1}" xr6:coauthVersionLast="47" xr6:coauthVersionMax="47" xr10:uidLastSave="{00000000-0000-0000-0000-000000000000}"/>
  <bookViews>
    <workbookView xWindow="-98" yWindow="-98" windowWidth="21795" windowHeight="12975" firstSheet="2" activeTab="6" xr2:uid="{00000000-000D-0000-FFFF-FFFF00000000}"/>
  </bookViews>
  <sheets>
    <sheet name="01.Cover" sheetId="1" r:id="rId1"/>
    <sheet name="02.Revision_History" sheetId="2" r:id="rId2"/>
    <sheet name="TS.Content" sheetId="3" r:id="rId3"/>
    <sheet name="TS.Overview" sheetId="4" r:id="rId4"/>
    <sheet name="TS.Technical Details" sheetId="5" r:id="rId5"/>
    <sheet name="TS.Screen Layout" sheetId="8" r:id="rId6"/>
    <sheet name="TS.Processing Logic" sheetId="7" r:id="rId7"/>
  </sheets>
  <externalReferences>
    <externalReference r:id="rId8"/>
  </externalReferences>
  <definedNames>
    <definedName name="A" localSheetId="5">#REF!</definedName>
    <definedName name="A">#REF!</definedName>
    <definedName name="aaa">{"'Sheet1'!$A$1:$I$153"}</definedName>
    <definedName name="aaaa" localSheetId="5">{"'帳票一覧'!$A$1:$E$86"}</definedName>
    <definedName name="aaaa">{"'帳票一覧'!$A$1:$E$86"}</definedName>
    <definedName name="HTML_CodePage">932</definedName>
    <definedName name="HTML_Control" localSheetId="5">{"'帳票一覧'!$A$1:$E$86"}</definedName>
    <definedName name="HTML_Control">{"'帳票一覧'!$A$1:$E$86"}</definedName>
    <definedName name="HTML_Control2">{"'Sheet1'!$A$1:$I$153"}</definedName>
    <definedName name="HTML_Description">""</definedName>
    <definedName name="HTML_Email">""</definedName>
    <definedName name="HTML_Header">"帳票一覧"</definedName>
    <definedName name="HTML_LastUpdate">"99/01/14"</definedName>
    <definedName name="HTML_LineAfter">FALSE</definedName>
    <definedName name="HTML_LineBefore">FALSE</definedName>
    <definedName name="HTML_Name">"北澤真弓"</definedName>
    <definedName name="HTML_OBDlg2">TRUE</definedName>
    <definedName name="HTML_OBDlg4">TRUE</definedName>
    <definedName name="HTML_OS">0</definedName>
    <definedName name="HTML_PathFile">"C:\USR\LISTVIEW帳票\帳票一覧.htm"</definedName>
    <definedName name="HTML_Title">"総括表"</definedName>
    <definedName name="SAPBEXrevision">1</definedName>
    <definedName name="SAPBEXsysID">"HA3"</definedName>
    <definedName name="SAPBEXwbID">"3UO1SYYEF96FKJ4L64UVYYKHM"</definedName>
    <definedName name="SSSS">{"'Sheet1'!$A$1:$I$153"}</definedName>
    <definedName name="あ">{"'Sheet1'!$A$1:$I$153"}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8" l="1"/>
  <c r="F3" i="8"/>
  <c r="Z1" i="7"/>
  <c r="O1" i="7"/>
  <c r="D1" i="7"/>
  <c r="Z1" i="5"/>
  <c r="O1" i="5"/>
  <c r="D1" i="5"/>
  <c r="Z1" i="4"/>
  <c r="O1" i="4"/>
  <c r="D1" i="4"/>
  <c r="Z1" i="3"/>
  <c r="O1" i="3"/>
  <c r="D1" i="3"/>
  <c r="Z1" i="2"/>
  <c r="O1" i="2"/>
  <c r="D1" i="2"/>
  <c r="AK13" i="1"/>
  <c r="Z1" i="1"/>
  <c r="O1" i="1"/>
  <c r="D1" i="1"/>
</calcChain>
</file>

<file path=xl/sharedStrings.xml><?xml version="1.0" encoding="utf-8"?>
<sst xmlns="http://schemas.openxmlformats.org/spreadsheetml/2006/main" count="374" uniqueCount="329">
  <si>
    <t>Docs_ID</t>
  </si>
  <si>
    <t>Sheet name</t>
  </si>
  <si>
    <t>Document</t>
  </si>
  <si>
    <t>Document_ID</t>
  </si>
  <si>
    <t>Version no</t>
  </si>
  <si>
    <t>1.0</t>
  </si>
  <si>
    <t>Last updated date</t>
  </si>
  <si>
    <t>Title</t>
  </si>
  <si>
    <t>Name</t>
  </si>
  <si>
    <t>Code</t>
  </si>
  <si>
    <t>Date</t>
  </si>
  <si>
    <t>Creator</t>
  </si>
  <si>
    <t>Reviewer</t>
  </si>
  <si>
    <t xml:space="preserve">Approver </t>
  </si>
  <si>
    <t>No</t>
  </si>
  <si>
    <t xml:space="preserve">Changing </t>
  </si>
  <si>
    <t>#</t>
  </si>
  <si>
    <t>Content</t>
  </si>
  <si>
    <t>Note</t>
  </si>
  <si>
    <t>1</t>
  </si>
  <si>
    <t>Overview</t>
  </si>
  <si>
    <t>2</t>
  </si>
  <si>
    <t>Technical Details</t>
  </si>
  <si>
    <t>3</t>
  </si>
  <si>
    <t>Screen Layout</t>
  </si>
  <si>
    <t>4</t>
  </si>
  <si>
    <t>Processing Logic</t>
  </si>
  <si>
    <t>I. Overview</t>
  </si>
  <si>
    <t>OBJECT OVERVIEW</t>
  </si>
  <si>
    <t>Technical Name</t>
  </si>
  <si>
    <t>Description</t>
  </si>
  <si>
    <t>Development Package</t>
  </si>
  <si>
    <t>Message Class</t>
  </si>
  <si>
    <t>Program Type</t>
  </si>
  <si>
    <t>Development Type (F/R/I/C/E)</t>
  </si>
  <si>
    <t>Processes / SAP Module</t>
  </si>
  <si>
    <t>SAP System / Release</t>
  </si>
  <si>
    <t>Priority (High/Medium/Low)</t>
  </si>
  <si>
    <t>Complexity (Simple/Medium/Complex/Very complex)</t>
  </si>
  <si>
    <t>2      Technical Details</t>
  </si>
  <si>
    <t>4     PROCESSING LOGIC</t>
  </si>
  <si>
    <t xml:space="preserve">  DATA: lt_price_log TYPE STANDARD TABLE OF ztb_price_log,</t>
  </si>
  <si>
    <t xml:space="preserve">        ls_price_log TYPE ztb_price_log.</t>
  </si>
  <si>
    <t xml:space="preserve">  IF lcl_buffer=&gt;mt_updated_rfqs IS NOT INITIAL.</t>
  </si>
  <si>
    <t xml:space="preserve">    LOOP AT lcl_buffer=&gt;mt_updated_rfqs INTO DATA(ls_rfq_number).</t>
  </si>
  <si>
    <t xml:space="preserve">      CLEAR lt_rfq_input.</t>
  </si>
  <si>
    <t xml:space="preserve">      lt_rfq_input = CORRESPONDING #( lcl_buffer=&gt;mt_updated_services ).</t>
  </si>
  <si>
    <t xml:space="preserve">      CLEAR lt_price_log.</t>
  </si>
  <si>
    <t xml:space="preserve">      LOOP AT lt_rfq_input INTO ls_rfq_input</t>
  </si>
  <si>
    <t xml:space="preserve">           WHERE ebeln = ls_rfq_number-ebeln.</t>
  </si>
  <si>
    <t xml:space="preserve">        CLEAR ls_price_log.</t>
  </si>
  <si>
    <t xml:space="preserve">        TRY.</t>
  </si>
  <si>
    <t xml:space="preserve">            ls_price_log-guid = cl_system_uuid=&gt;create_uuid_x16_static( ).</t>
  </si>
  <si>
    <t xml:space="preserve">          CATCH cx_uuid_error.</t>
  </si>
  <si>
    <t xml:space="preserve">            CONTINUE.</t>
  </si>
  <si>
    <t xml:space="preserve">        ENDTRY.</t>
  </si>
  <si>
    <t xml:space="preserve">        ls_price_log-ebeln = ls_rfq_number-ebeln.</t>
  </si>
  <si>
    <t xml:space="preserve">        ls_price_log-ebelp = ls_rfq_input-ebelp.</t>
  </si>
  <si>
    <t xml:space="preserve">        ls_price_log-erdat = sy-datum.</t>
  </si>
  <si>
    <t xml:space="preserve">        ls_price_log-ernam = ls_rfq_number-ernam.</t>
  </si>
  <si>
    <t xml:space="preserve">        ls_price_log-ertim = sy-uzeit.</t>
  </si>
  <si>
    <t xml:space="preserve">        ls_price_log-issync = 'X'.</t>
  </si>
  <si>
    <t xml:space="preserve">        APPEND ls_price_log TO lt_price_log.</t>
  </si>
  <si>
    <t xml:space="preserve">      ENDLOOP.</t>
  </si>
  <si>
    <t xml:space="preserve">      IF lt_price_log IS NOT INITIAL.</t>
  </si>
  <si>
    <t xml:space="preserve">        MODIFY ztb_price_log FROM TABLE lt_price_log.</t>
  </si>
  <si>
    <t xml:space="preserve">      ENDIF.</t>
  </si>
  <si>
    <t xml:space="preserve">      CALL FUNCTION 'ZFM_MAINTAIN_RFQ' STARTING NEW TASK 'RFQ_UPDATE'</t>
  </si>
  <si>
    <t xml:space="preserve">        EXPORTING</t>
  </si>
  <si>
    <t xml:space="preserve">          iv_rfq_number = ls_rfq_number-ebeln</t>
  </si>
  <si>
    <t xml:space="preserve">          it_data       = lt_rfq_input.</t>
  </si>
  <si>
    <t xml:space="preserve">      DATA(lv_vendor) = VALUE #( lt_rfq_input[ 1 ]-lifnr OPTIONAL ).</t>
  </si>
  <si>
    <t xml:space="preserve">      CALL FUNCTION 'ZFM_SENDMAIL_G1_RESP' STARTING NEW TASK 'MAIL_API_SEND'</t>
  </si>
  <si>
    <t xml:space="preserve">          iv_vendor     = lv_vendor</t>
  </si>
  <si>
    <t xml:space="preserve">          iv_ernam      = ls_rfq_number-ernam</t>
  </si>
  <si>
    <t xml:space="preserve">        TABLES</t>
  </si>
  <si>
    <t xml:space="preserve">    ENDLOOP.</t>
  </si>
  <si>
    <t xml:space="preserve">    </t>
  </si>
  <si>
    <t xml:space="preserve">    CLEAR lcl_buffer=&gt;mt_updated_rfqs.</t>
  </si>
  <si>
    <t xml:space="preserve">    CLEAR lcl_buffer=&gt;mt_updated_services.</t>
  </si>
  <si>
    <t xml:space="preserve">  ENDIF.</t>
  </si>
  <si>
    <t>ENDMETHOD.</t>
  </si>
  <si>
    <t>4.4. Result Display</t>
  </si>
  <si>
    <t>Purpose</t>
  </si>
  <si>
    <t>To display the results of RFQ price updates to the user, including success messages, error notifications, and updated data in the Fiori UI.</t>
  </si>
  <si>
    <t>Logic</t>
  </si>
  <si>
    <t xml:space="preserve">After save operation completes, system returns result to UI with success or error messages. UI automatically refreshes to show updated prices and recalculated NetPrice/TotalPriceItem. </t>
  </si>
  <si>
    <t>Status indicators (Days Remaining, Status Criticality) are updated. If RFQ is Closed, update/delete buttons are disabled. Success notification appears and email is sent asynchronously.</t>
  </si>
  <si>
    <t>Input</t>
  </si>
  <si>
    <t>Save operation result, updated entity data, status information from Header.</t>
  </si>
  <si>
    <t>Preprocessing</t>
  </si>
  <si>
    <t xml:space="preserve">Map save result to UI response structure with success/error messages and updated entity keys. Calculate Days Remaining, determine StatusText (Overdue/Open/Closed), </t>
  </si>
  <si>
    <t>and set StatusCriticality (1=Overdue, 2=Open, 3=Closed) based on deadline and status.</t>
  </si>
  <si>
    <t>Error Handling</t>
  </si>
  <si>
    <t>Save failures return error messages to UI showing which records failed validation. Failed records remain in draft state. Display errors show error message allowing user to retry.</t>
  </si>
  <si>
    <t xml:space="preserve"> Status calculation errors use default values, setting status to 'Open' if calculation fails.</t>
  </si>
  <si>
    <t>METHOD read.</t>
  </si>
  <si>
    <t xml:space="preserve">  SELECT * FROM zi_rfq_head</t>
  </si>
  <si>
    <t xml:space="preserve">   FOR ALL ENTRIES IN @keys</t>
  </si>
  <si>
    <t xml:space="preserve">   WHERE RFQNumber = @keys-RFQNumber</t>
  </si>
  <si>
    <t xml:space="preserve">   INTO TABLE @DATA(lt_data).</t>
  </si>
  <si>
    <t xml:space="preserve">  result = CORRESPONDING #( lt_data ).</t>
  </si>
  <si>
    <t>case</t>
  </si>
  <si>
    <t xml:space="preserve">  when dats_days_between($session.system_date, ekko.angdt) &lt; 0 then 0</t>
  </si>
  <si>
    <t xml:space="preserve">  else</t>
  </si>
  <si>
    <t xml:space="preserve">    dats_days_between($session.system_date, ekko.angdt) </t>
  </si>
  <si>
    <t>end as DaysRemaining,</t>
  </si>
  <si>
    <t xml:space="preserve">case </t>
  </si>
  <si>
    <t xml:space="preserve">  when ekko.angdt &lt; $session.system_date then 'Overdue'</t>
  </si>
  <si>
    <t xml:space="preserve">  when ekko.statu = 'A' then 'Closed'</t>
  </si>
  <si>
    <t xml:space="preserve">  else 'Open'</t>
  </si>
  <si>
    <t>end as StatusText,</t>
  </si>
  <si>
    <t xml:space="preserve">  when ekko.angdt &lt; $session.system_date then 1</t>
  </si>
  <si>
    <t xml:space="preserve">  when ekko.statu = 'A' then 3</t>
  </si>
  <si>
    <t xml:space="preserve">  else 2</t>
  </si>
  <si>
    <t>end as StatusCriticality</t>
  </si>
  <si>
    <t>Technical Specification</t>
  </si>
  <si>
    <t>TS_ZCL_CUST_RANK_YTD_CDS</t>
  </si>
  <si>
    <t>2026-04-29</t>
  </si>
  <si>
    <t>Initial draft generated from user-provided code</t>
  </si>
  <si>
    <t>Section overview</t>
  </si>
  <si>
    <t>Architecture, tables, interfaces</t>
  </si>
  <si>
    <t>Background execution / N.A.</t>
  </si>
  <si>
    <t>Detailed logic and pseudo flow</t>
  </si>
  <si>
    <t>Object Name: ZCL_CUST_RANK_YTD_CDS</t>
  </si>
  <si>
    <t>ZCL_CUST_RANK_YTD_CDS</t>
  </si>
  <si>
    <t>ABAP Application Server</t>
  </si>
  <si>
    <t>High</t>
  </si>
  <si>
    <t>Complex</t>
  </si>
  <si>
    <t>2.1 Program Structure</t>
  </si>
  <si>
    <t>2.2 Key Components</t>
  </si>
  <si>
    <t>2.3 Data Flow</t>
  </si>
  <si>
    <t>Step</t>
  </si>
  <si>
    <t>Details</t>
  </si>
  <si>
    <t>2.4 Error Handling</t>
  </si>
  <si>
    <t>Type</t>
  </si>
  <si>
    <t>2.5 Security</t>
  </si>
  <si>
    <t>Aspect</t>
  </si>
  <si>
    <t>2.6. SAP Reference Tables</t>
  </si>
  <si>
    <t>ZPK_SAP490_G9_SP26</t>
  </si>
  <si>
    <t>29/04/2026</t>
  </si>
  <si>
    <t>DatNV</t>
  </si>
  <si>
    <t>HE171534</t>
  </si>
  <si>
    <t>TS_UPLOAD_SO</t>
  </si>
  <si>
    <t>Mass upload Sales Orders from Excel into SAP staging tables, validate against master data &amp; pricing, review/edit on OO ALV, and post via BAPI_SALESORDER_CREATEFROMDAT2</t>
  </si>
  <si>
    <t>N/A (inline messages)</t>
  </si>
  <si>
    <t>Executable Report (Type 1) + Screen 100 (OO ALV) + Background Jobs</t>
  </si>
  <si>
    <t>C (Custom Development)</t>
  </si>
  <si>
    <t>SD / Sales Order Creation / Mass Upload</t>
  </si>
  <si>
    <t>Two standalone programs + two background jobs:</t>
  </si>
  <si>
    <t>Program 1: ZPG_UPLOAD_SO (Single file, no includes)</t>
  </si>
  <si>
    <t xml:space="preserve">  - Selection Screen 1000: File path input + Download Template pushbutton</t>
  </si>
  <si>
    <t xml:space="preserve">  - Reads Excel via ALSM_EXCEL_TO_INTERNAL_TABLE (row 2+, cols 1-15)</t>
  </si>
  <si>
    <t xml:space="preserve">  - Generates UUID batch ID via CL_SYSTEM_UUID=&gt;CREATE_UUID_X16_STATIC</t>
  </si>
  <si>
    <t xml:space="preserve">  - Maps Excel rows → Z tables (groups by header key, items numbered by 10)</t>
  </si>
  <si>
    <t xml:space="preserve">  - INSERT into ZTB_SD_SO_HEADER + ZTB_SD_SO_ITEM (status = N)</t>
  </si>
  <si>
    <t xml:space="preserve">  - Auto-submits background job Z_SO_VALIDATE_JOB (JOB_OPEN → SUBMIT → JOB_CLOSE)</t>
  </si>
  <si>
    <t>Program 2: ZPG_SO_ALV_EDIT (Main + 5 Includes)</t>
  </si>
  <si>
    <t xml:space="preserve">  - ZPG_SO_ALV_EDIT_TOP: Types (TY_ALV with CELLTAB), Constants (GC_STATUS), Global data (GO_GRID, GO_CONTAINER)</t>
  </si>
  <si>
    <t xml:space="preserve">  - ZPG_SO_ALV_EDIT_CLS: Local class LCL_EVENT_HANDLER</t>
  </si>
  <si>
    <t xml:space="preserve">    + HANDLE_DATA_CHANGED: Real-time cell validation on Enter/Tab (mc_evt_modified)</t>
  </si>
  <si>
    <t xml:space="preserve">    + HANDLE_TOOLBAR: Dynamic custom buttons (Save, Validate, Post SO, Delete, Refresh)</t>
  </si>
  <si>
    <t xml:space="preserve">    + HANDLE_USER_COMMAND: Button click dispatcher</t>
  </si>
  <si>
    <t xml:space="preserve">  - ZPG_SO_ALV_EDIT_F01: All FORM routines (load, save, validate, post, delete, refresh, fieldcat, layout)</t>
  </si>
  <si>
    <t xml:space="preserve">  - ZPG_SO_ALV_EDIT_PBO: MODULE status_0100, MODULE init_alv_0100</t>
  </si>
  <si>
    <t xml:space="preserve">  - ZPG_SO_ALV_EDIT_PAI: MODULE user_command_0100, MODULE exit_command_0100</t>
  </si>
  <si>
    <t xml:space="preserve">  - Screen 100: Custom Control CC_ALV (CL_GUI_CUSTOM_CONTAINER + CL_GUI_ALV_GRID)</t>
  </si>
  <si>
    <t>Background Job 1: Z_SO_VALIDATE_JOB (Standalone executable)</t>
  </si>
  <si>
    <t xml:space="preserve">  - Parameter: P_REQID (SYSUUID_C32)</t>
  </si>
  <si>
    <t xml:space="preserve">  - 3-level validation: Mandatory → Master Data → BAPI Simulation</t>
  </si>
  <si>
    <t xml:space="preserve">  - Pricing classified by COND_CLASS (A=Price, B=Discount, D=Tax) — no hardcoded condition types</t>
  </si>
  <si>
    <t>Background Job 2: Z_SO_POST_JOB (Standalone executable)</t>
  </si>
  <si>
    <t xml:space="preserve">  - Calls BAPI_SALESORDER_CREATEFROMDAT2 (real post)</t>
  </si>
  <si>
    <t xml:space="preserve">  - BAPI_TRANSACTION_COMMIT / ROLLBACK</t>
  </si>
  <si>
    <t>Internal types: TY_EXCEL_LINE (15 char fields), TY_ALV (25+ fields incl. CELLTAB for cell-level edit control)</t>
  </si>
  <si>
    <t>Constants: GC_STATUS (N=New, V=Validated, E=Error, P=Posted, X=PostError)</t>
  </si>
  <si>
    <t>OO ALV objects: GO_CONTAINER (CL_GUI_CUSTOM_CONTAINER), GO_GRID (CL_GUI_ALV_GRID), GO_HANDLER (LCL_EVENT_HANDLER)</t>
  </si>
  <si>
    <t>Template creation: OLE Automation (Excel.Application) for .xls format with 15 bold header columns</t>
  </si>
  <si>
    <t>Excel reading: ALSM_EXCEL_TO_INTERNAL_TABLE with row-by-row CASE mapping</t>
  </si>
  <si>
    <t>UUID generation: CL_SYSTEM_UUID=&gt;CREATE_UUID_X16_STATIC (fallback: UNAME+DATUM+UZEIT)</t>
  </si>
  <si>
    <t>BAPI: BAPI_SALESORDER_CREATEFROMDAT2 (both simulate with TESTRUN=X and real post)</t>
  </si>
  <si>
    <t>Conversion exits: ALPHA_INPUT (customer), MATN1_INPUT (material)</t>
  </si>
  <si>
    <t>Job scheduling: JOB_OPEN → SUBMIT ... VIA JOB → JOB_CLOSE (STRTIMMED = TRUE)</t>
  </si>
  <si>
    <t>1. Read Excel</t>
  </si>
  <si>
    <t>2. Generate UUID</t>
  </si>
  <si>
    <t>3. Group by Header</t>
  </si>
  <si>
    <t>4. Convert &amp; Insert</t>
  </si>
  <si>
    <t>5. Validate (BG Job)</t>
  </si>
  <si>
    <t>6. ALV Review</t>
  </si>
  <si>
    <t>7. Post (BG Job)</t>
  </si>
  <si>
    <t>8. Lock Posted</t>
  </si>
  <si>
    <t>ALSM_EXCEL_TO_INTERNAL_TABLE reads from row 2, columns 1-15. Maps CASE col → TY_EXCEL_LINE fields.</t>
  </si>
  <si>
    <t>CL_SYSTEM_UUID creates unique batch ID for all records in this upload.</t>
  </si>
  <si>
    <t>Concatenate AUART+VKORG+VTWEG+SPART+KUNNR+KUNWE+BSTKD+ZTERM+INCO1+INCO2 as grouping key. Same key = 1 SO header. VDATU excluded (moved to schedule line). Items numbered 10, 20, 30...</t>
  </si>
  <si>
    <t>ALPHA_INPUT for customers, MATN1_INPUT for materials. MODIFY Z tables. COMMIT WORK AND WAIT.</t>
  </si>
  <si>
    <t>Level 1: Mandatory check. Level 2: Master data (KNA1, KNVV, MARA, MVKE, T001W, TVKO, T052, customer block). Level 3: BAPI simulate (TESTRUN=X) → read ORDER_CONDITIONS_IN by COND_CLASS.</t>
  </si>
  <si>
    <t>SELECT Z tables JOIN → GT_ALV. OO ALV editable. Real-time validation on cell change. Save → UPDATE Z tables (reset status N). Validate → save + submit validate job.</t>
  </si>
  <si>
    <t>BAPI_SALESORDER_CREATEFROMDAT2 (no TESTRUN). COMMIT on success (status P + VBELN). ROLLBACK on failure (status X).</t>
  </si>
  <si>
    <t>Status P records: CELLTAB set to mc_style_disabled. Validate/Save skip status P. Prevents duplicate SO creation.</t>
  </si>
  <si>
    <t>Empty Excel</t>
  </si>
  <si>
    <t>Mandatory Missing</t>
  </si>
  <si>
    <t>Master Data Not Found</t>
  </si>
  <si>
    <t>Customer Blocked</t>
  </si>
  <si>
    <t>BAPI Simulation Error</t>
  </si>
  <si>
    <t>BAPI Post Error</t>
  </si>
  <si>
    <t>Duplicate Upload</t>
  </si>
  <si>
    <t>ALV Real-time Error</t>
  </si>
  <si>
    <t>Job Creation Failure</t>
  </si>
  <si>
    <t>ALSM returns empty → MESSAGE "No data in Excel!" TYPE E. Processing stops.</t>
  </si>
  <si>
    <t>Validate job checks AUART, VKORG, VTWEG, SPART, KUNNR. First empty field → status E + specific message.</t>
  </si>
  <si>
    <t>SELECT SINGLE from KNA1/MARA/MVKE/T001W/TVKO/T052. sy-subrc &lt;&gt; 0 → status E + "{field} does not exist".</t>
  </si>
  <si>
    <t>KNVV-AUFSD not initial → status E + "Customer blocked for sales".</t>
  </si>
  <si>
    <t>RETURN table type E/A/X → concatenate messages → status E. No pricing stored.</t>
  </si>
  <si>
    <t>RETURN errors → BAPI_TRANSACTION_ROLLBACK → status X + error message. Items also set to X.</t>
  </si>
  <si>
    <t>Check BSTKD + KUNNR + MATNR combination in Z table before insert. Popup warning if found.</t>
  </si>
  <si>
    <t>ADD_PROTOCOL_ENTRY → popup error message immediately when user edits cell with invalid value.</t>
  </si>
  <si>
    <t>JOB_OPEN sy-subrc &lt;&gt; 0 → MESSAGE "Error creating background job!" TYPE E.</t>
  </si>
  <si>
    <t>Authorization Object</t>
  </si>
  <si>
    <t>V_VBAK_VKO — checks VKORG + VTWEG + SPART + ACTVT (01=Create, 02=Change, 03=Display)</t>
  </si>
  <si>
    <t>Transaction Code</t>
  </si>
  <si>
    <t>ZPG_SO_ALV_EDIT assigned with Auth Object V_VBAK_VKO in SE93</t>
  </si>
  <si>
    <t>Data Isolation</t>
  </si>
  <si>
    <t>Each upload gets unique UUID. Users see only their uploads unless filter is broadened.</t>
  </si>
  <si>
    <t>Posted Record Lock</t>
  </si>
  <si>
    <t>Status P records locked via CELLTAB (mc_style_disabled). Cannot edit, re-validate, or re-post.</t>
  </si>
  <si>
    <t>- ZTB_SD_SO_HEADER: Staging header. Key: MANDT + ZREQ_ID. Fields: AUART, VKORG, VTWEG, SPART, KUNNR, KUNWE, BSTKD, VDATU, ZTERM, INCO1, INCO2, VBELN, ZSTATUS, ZMESSAGE, ERNAM, ERDAT, ERTIM.</t>
  </si>
  <si>
    <t>- ZTB_SD_SO_ITEM: Staging item. Key: MANDT + ZREQ_ID + ZITEM_NO. Fields: MATNR, KWMENG, VRKME, WERKS, NETPR, ZDISCOUNT, ZTAX_AMT, WAERK, ZSTATUS, ZMESSAGE.</t>
  </si>
  <si>
    <t>- VBAK / VBAP: Sales Order header/item (BAPI output target)</t>
  </si>
  <si>
    <t>- KNA1: Customer master (existence check + ADRNR)</t>
  </si>
  <si>
    <t>- KNVV: Customer sales area data (sales block AUFSD)</t>
  </si>
  <si>
    <t>- MARA: Material master (existence check)</t>
  </si>
  <si>
    <t>- MVKE: Material sales org data (sales area assignment)</t>
  </si>
  <si>
    <t>- T001W: Plant master (existence check)</t>
  </si>
  <si>
    <t>- TVKO: Sales organization master (existence check)</t>
  </si>
  <si>
    <t>- T052: Payment terms (validity check)</t>
  </si>
  <si>
    <t>- KONV / PRCD_ELEMENTS: Pricing conditions (read via BAPI ORDER_CONDITIONS_IN)</t>
  </si>
  <si>
    <t>- GUI Status: STATUS_100 (SE41, BACK/EXIT/CANCEL only)</t>
  </si>
  <si>
    <t>- Screen: 0100 with Custom Control CC_ALV (SE51)</t>
  </si>
  <si>
    <t>4.1 Upload Excel Processing (ZPG_UPLOAD_SO)</t>
  </si>
  <si>
    <t>Read Excel file, map to staging tables, auto-submit validation background job.</t>
  </si>
  <si>
    <t>1. ALSM_EXCEL_TO_INTERNAL_TABLE(filename=P_FILE, i_begin_row=2, i_begin_col=1, i_end_col=15, i_end_row=9999).</t>
  </si>
  <si>
    <t>2. Loop ALSMEX_TABLINE: track row changes → APPEND TY_EXCEL_LINE on row break. CASE COL for field mapping.</t>
  </si>
  <si>
    <t>3. CL_SYSTEM_UUID=&gt;CREATE_UUID_X16_STATIC → LV_UUID. Fallback: concatenate SY-UNAME+DATUM+UZEIT.</t>
  </si>
  <si>
    <t>4. Group by header key (AUART+VKORG+VTWEG+SPART+KUNNR+KUNWE+BSTKD+ZTERM+INCO1+INCO2). VDATU excluded from key.</t>
  </si>
  <si>
    <t>5. CONVERSION_EXIT_ALPHA_INPUT for KUNNR/KUNWE. CONVERSION_EXIT_MATN1_INPUT for MATNR.</t>
  </si>
  <si>
    <t>6. Item numbering: LV_ITEM_NO = LV_ITEM_NO + 10 per line within same header group.</t>
  </si>
  <si>
    <t>7. Default: WAERK = "VND", ZSTATUS = GC_STATUS-NEW, ERNAM/ERDAT/ERTIM = SY-UNAME/DATUM/UZEIT.</t>
  </si>
  <si>
    <t>8. MODIFY ZTB_SD_SO_HEADER FROM TABLE. MODIFY ZTB_SD_SO_ITEM FROM TABLE. COMMIT WORK AND WAIT.</t>
  </si>
  <si>
    <t>9. JOB_OPEN → SUBMIT Z_SO_VALIDATE_JOB WITH P_REQID = LV_UUID VIA JOB → JOB_CLOSE(STRTIMMED=X).</t>
  </si>
  <si>
    <t>4.2 Validation Processing (Z_SO_VALIDATE_JOB)</t>
  </si>
  <si>
    <t>Validate staging data against master data and simulate BAPI to determine pricing.</t>
  </si>
  <si>
    <t>1. SELECT * FROM ZTB_SD_SO_HEADER/ITEM INTO CORRESPONDING FIELDS OF TABLE WHERE ZREQ_ID = P_REQID AND ZSTATUS = N.</t>
  </si>
  <si>
    <t>2. Level 1 — Mandatory: Check AUART, VKORG, VTWEG, SPART, KUNNR not initial. First failure → status E + message.</t>
  </si>
  <si>
    <t>3. Level 2 — Master Data:</t>
  </si>
  <si>
    <t xml:space="preserve">   SELECT SINGLE FROM KNA1 WHERE KUNNR = header-KUNNR. Not found → E "Customer not found".</t>
  </si>
  <si>
    <t xml:space="preserve">   SELECT SINGLE AUFSD FROM KNVV WHERE KUNNR+VKORG+VTWEG+SPART. Not found → E "Not maintained for Sales Area". AUFSD not initial → E "Blocked".</t>
  </si>
  <si>
    <t xml:space="preserve">   SELECT SINGLE FROM KNA1 WHERE KUNNR = header-KUNWE (if not initial). Not found → E.</t>
  </si>
  <si>
    <t xml:space="preserve">   SELECT SINGLE FROM TVKO WHERE VKORG. Not found → E.</t>
  </si>
  <si>
    <t xml:space="preserve">   SELECT SINGLE FROM T052 WHERE ZTERM (if not initial). Not found → E.</t>
  </si>
  <si>
    <t xml:space="preserve">   Per item: SELECT SINGLE FROM MARA WHERE MATNR. Not found → E.</t>
  </si>
  <si>
    <t xml:space="preserve">   SELECT SINGLE FROM MVKE WHERE MATNR+VKORG+VTWEG. Not found → E "Not maintained for Sales Area".</t>
  </si>
  <si>
    <t xml:space="preserve">   KWMENG &lt;= 0 → E. VRKME initial → E. SELECT SINGLE FROM T001W WHERE WERKS (if not initial). Not found → E.</t>
  </si>
  <si>
    <t>4. Level 3 — BAPI Simulation:</t>
  </si>
  <si>
    <t xml:space="preserve">   Build ORDER_HEADER_IN (doc_type, sales_org, distr_chan, division, purch_no_c, pmnttrms, incoterms1/2).</t>
  </si>
  <si>
    <t xml:space="preserve">   Build ORDER_HEADER_INX (all = abap_true).</t>
  </si>
  <si>
    <t xml:space="preserve">   Build ORDER_PARTNERS: AG (sold-to) + WE (ship-to if provided).</t>
  </si>
  <si>
    <t xml:space="preserve">   Build ORDER_ITEMS_IN: itm_number (10,20,30...), material, plant, target_qty, target_qu.</t>
  </si>
  <si>
    <t xml:space="preserve">   Build ORDER_SCHEDULES_IN: itm_number, sched_line=0001, req_qty, req_date.</t>
  </si>
  <si>
    <t xml:space="preserve">   CALL FUNCTION BAPI_SALESORDER_CREATEFROMDAT2 EXPORTING TESTRUN = ABAP_TRUE.</t>
  </si>
  <si>
    <t xml:space="preserve">   Check RETURN for type E/A/X → concatenate errors → status E.</t>
  </si>
  <si>
    <t xml:space="preserve">   On success: read ORDER_CONDITIONS_IN, classify by COND_CLASS:</t>
  </si>
  <si>
    <t xml:space="preserve">     A → NETPR (accumulate), B → ZDISCOUNT (accumulate), D → ZTAX_AMT (accumulate).</t>
  </si>
  <si>
    <t>5. MODIFY ZTB_SD_SO_HEADER/ITEM FROM TABLE. COMMIT WORK AND WAIT.</t>
  </si>
  <si>
    <t>4.3 Post Processing (Z_SO_POST_JOB)</t>
  </si>
  <si>
    <t>Create real Sales Orders from validated staging data.</t>
  </si>
  <si>
    <t>1. SELECT * FROM Z tables WHERE ZSTATUS = V.</t>
  </si>
  <si>
    <t>2. Per header: build same BAPI structures as validate (without TESTRUN).</t>
  </si>
  <si>
    <t>3. CALL FUNCTION BAPI_SALESORDER_CREATEFROMDAT2.</t>
  </si>
  <si>
    <t>4. Check RETURN for errors:</t>
  </si>
  <si>
    <t xml:space="preserve">   Errors found → BAPI_TRANSACTION_ROLLBACK → status X + concatenated error messages.</t>
  </si>
  <si>
    <t xml:space="preserve">   No errors → BAPI_TRANSACTION_COMMIT(WAIT=X) → status P + VBELN from IMPORTING SALESDOCUMENT.</t>
  </si>
  <si>
    <t>5. Update all items of same ZREQ_ID to matching status (P or X).</t>
  </si>
  <si>
    <t>6. MODIFY Z tables. COMMIT WORK AND WAIT.</t>
  </si>
  <si>
    <t>4.4 ALV Real-time Validation (ZPG_SO_ALV_EDIT)</t>
  </si>
  <si>
    <t>Provide immediate feedback when users edit cells on ALV grid.</t>
  </si>
  <si>
    <t>1. Event DATA_CHANGED registered via GO_GRID-&gt;REGISTER_EDIT_EVENT(mc_evt_modified).</t>
  </si>
  <si>
    <t>2. HANDLE_DATA_CHANGED method loops ER_DATA_CHANGED-&gt;MT_GOOD_CELLS:</t>
  </si>
  <si>
    <t xml:space="preserve">   KUNNR: ALPHA conversion → MODIFY_CELL → SELECT KNA1 → ADD_PROTOCOL_ENTRY if not found.</t>
  </si>
  <si>
    <t xml:space="preserve">   KUNWE: Same as KUNNR (if not initial).</t>
  </si>
  <si>
    <t xml:space="preserve">   MATNR: MATN1 conversion → MODIFY_CELL → SELECT MARA → ADD_PROTOCOL_ENTRY if not found.</t>
  </si>
  <si>
    <t xml:space="preserve">   KWMENG: Cast to KWMENG type → check &gt; 0 → ADD_PROTOCOL_ENTRY if not.</t>
  </si>
  <si>
    <t xml:space="preserve">   WERKS: SELECT T001W → ADD_PROTOCOL_ENTRY if not found.</t>
  </si>
  <si>
    <t xml:space="preserve">   VKORG: SELECT TVKO → ADD_PROTOCOL_ENTRY if not found.</t>
  </si>
  <si>
    <t xml:space="preserve">   ZTERM: SELECT T052 → ADD_PROTOCOL_ENTRY if not found.</t>
  </si>
  <si>
    <t>3. Protocol entries displayed as popup error immediately.</t>
  </si>
  <si>
    <t>4.5 Save &amp; Refresh Processing</t>
  </si>
  <si>
    <t>Persist ALV changes to Z tables and reload data.</t>
  </si>
  <si>
    <t>1. [Save]: Loop GT_ALV → skip status P. SELECT SINGLE from Z header/item → update fields → MODIFY → COMMIT.</t>
  </si>
  <si>
    <t xml:space="preserve">   Reset ZSTATUS = N, ZMESSAGE = "Modified. Need re-validate."</t>
  </si>
  <si>
    <t>2. [Validate]: Call save first, then collect unique ZREQ_IDs where status N/E → UPDATE status N → submit validate job per UUID.</t>
  </si>
  <si>
    <t>3. [Post SO]: Collect ZREQ_IDs where status V → POPUP_TO_CONFIRM → submit post job per UUID.</t>
  </si>
  <si>
    <t>4. [Delete]: Loop GT_ALV where status E/X → DELETE FROM ZTB_SD_SO_ITEM. Check remaining items → DELETE header if empty.</t>
  </si>
  <si>
    <t>5. [Refresh]: Re-SELECT from Z tables → set icons → GO_GRID-&gt;REFRESH_TABLE_DISPLAY.</t>
  </si>
  <si>
    <t>6. [Back F3]: GO_CONTAINER-&gt;FREE → CLEAR objects → LEAVE TO SCREEN 0.</t>
  </si>
  <si>
    <t>4.6 Error Handling</t>
  </si>
  <si>
    <t>- Empty Excel: ALSM returns empty internal table → MESSAGE TYPE E, stop.</t>
  </si>
  <si>
    <t>- Mandatory validation: first empty field sets header status E with specific message, CONTINUE to next header.</t>
  </si>
  <si>
    <t>- Master data check: each SELECT SINGLE failure → status E + descriptive message, CONTINUE.</t>
  </si>
  <si>
    <t>- BAPI simulation errors: concatenate all RETURN messages (type E/A/X) with ";" separator → status E.</t>
  </si>
  <si>
    <t>- BAPI post errors: ROLLBACK + status X. All items of same header also set to X.</t>
  </si>
  <si>
    <t>- ALV real-time: ADD_PROTOCOL_ENTRY with message class 00, msgno 001 → immediate popup.</t>
  </si>
  <si>
    <t>- Duplicate prevention: check BSTKD+KUNNR+MATNR before insert → popup warning with existing Request ID.</t>
  </si>
  <si>
    <t>- Posted record protection: status P records skipped in save/validate loops, cells disabled via CELLTAB.</t>
  </si>
  <si>
    <t>- Job creation failure: JOB_OPEN sy-subrc &lt;&gt; 0 → MESSAGE TYPE E, processing continues for other records.</t>
  </si>
  <si>
    <t xml:space="preserve"> </t>
  </si>
  <si>
    <t>Created by:</t>
  </si>
  <si>
    <t>Created date:</t>
  </si>
  <si>
    <t>Function ID</t>
  </si>
  <si>
    <t>Function Name</t>
  </si>
  <si>
    <t>Modified by:</t>
  </si>
  <si>
    <t>Modified date:</t>
  </si>
  <si>
    <t>Screen 1000 (Selection Screen) — ZPG_UPLOAD_SO</t>
  </si>
  <si>
    <t>Screen 1000 (Selection Screen) — ZPG_SO_ALV_EDIT</t>
  </si>
  <si>
    <t>Screen 100 (OO ALV) — ZPG_SO_ALV_EDIT</t>
  </si>
  <si>
    <t>Status Icons:</t>
  </si>
  <si>
    <t xml:space="preserve">  🟢 Green  (V) = Validated — pricing determined, ready to post</t>
  </si>
  <si>
    <t xml:space="preserve">  🔴 Red    (E) = Error — validation failed, see Message column</t>
  </si>
  <si>
    <t xml:space="preserve">  ✅ Check  (P) = Posted — SO created successfully, locked</t>
  </si>
  <si>
    <t xml:space="preserve">  ⚠️ Warn   (X) = Post Error — BAPI failed, see Message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</si>
</sst>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\-mmm"/>
    <numFmt numFmtId="165" formatCode="[$-409]m/d/yy\ h:mm\ AM/PM"/>
    <numFmt numFmtId="166" formatCode="0.0"/>
    <numFmt numFmtId="167" formatCode="[$-409]d/mmm/yyyy"/>
    <numFmt numFmtId="168" formatCode="[$-409]d\-mmm\-yy"/>
    <numFmt numFmtId="169" formatCode="d/m/yyyy"/>
    <numFmt numFmtId="170" formatCode="0_ "/>
  </numFmts>
  <fonts count="3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3"/>
      <color theme="1"/>
      <name val="Times New Roman"/>
    </font>
    <font>
      <sz val="12"/>
      <color theme="0"/>
      <name val="Arial"/>
      <family val="2"/>
    </font>
    <font>
      <sz val="12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3"/>
      <color theme="1"/>
      <name val="Times New Roman"/>
      <family val="1"/>
    </font>
    <font>
      <b/>
      <sz val="10"/>
      <color rgb="FF1F4E79"/>
      <name val="Arial"/>
      <family val="2"/>
    </font>
    <font>
      <b/>
      <sz val="13"/>
      <color theme="3"/>
      <name val="Times New Roman"/>
      <family val="1"/>
    </font>
    <font>
      <b/>
      <sz val="10"/>
      <color theme="3"/>
      <name val="Arial"/>
      <family val="2"/>
    </font>
    <font>
      <b/>
      <sz val="11"/>
      <color theme="3"/>
      <name val="Calibri"/>
      <family val="2"/>
    </font>
    <font>
      <sz val="12"/>
      <color theme="0"/>
      <name val="Times New Roman"/>
      <family val="1"/>
    </font>
    <font>
      <b/>
      <sz val="12"/>
      <color theme="3"/>
      <name val="Times New Roman"/>
      <family val="1"/>
    </font>
    <font>
      <sz val="12"/>
      <color theme="3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Meiryo"/>
      <family val="2"/>
    </font>
    <font>
      <sz val="10"/>
      <color theme="1"/>
      <name val="Meiryo"/>
      <family val="2"/>
    </font>
    <font>
      <sz val="10"/>
      <name val="Consolas"/>
      <family val="3"/>
    </font>
    <font>
      <sz val="11"/>
      <color theme="1"/>
      <name val="MS PGothic"/>
      <family val="2"/>
    </font>
    <font>
      <b/>
      <sz val="10"/>
      <color theme="1"/>
      <name val="MS PGothic"/>
      <family val="2"/>
    </font>
    <font>
      <sz val="10"/>
      <color theme="1"/>
      <name val="MS PGothic"/>
      <family val="2"/>
    </font>
    <font>
      <sz val="9"/>
      <color theme="1"/>
      <name val="Meiryo"/>
      <family val="2"/>
    </font>
  </fonts>
  <fills count="15">
    <fill>
      <patternFill patternType="none"/>
    </fill>
    <fill>
      <patternFill patternType="gray125"/>
    </fill>
    <fill>
      <patternFill patternType="solid">
        <fgColor rgb="FF002B82"/>
      </patternFill>
    </fill>
    <fill>
      <patternFill patternType="solid">
        <fgColor rgb="FFC6D9F0"/>
      </patternFill>
    </fill>
    <fill>
      <patternFill patternType="solid">
        <fgColor theme="0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theme="4" tint="0.39997558519241921"/>
        <bgColor rgb="FF8496B0"/>
      </patternFill>
    </fill>
    <fill>
      <patternFill patternType="solid">
        <fgColor theme="4" tint="0.39997558519241921"/>
        <bgColor theme="0"/>
      </patternFill>
    </fill>
    <fill>
      <patternFill patternType="solid">
        <fgColor rgb="FF8496B0"/>
        <bgColor rgb="FF8496B0"/>
      </patternFill>
    </fill>
    <fill>
      <patternFill patternType="solid">
        <fgColor theme="2"/>
        <bgColor theme="0"/>
      </patternFill>
    </fill>
    <fill>
      <patternFill patternType="solid">
        <fgColor theme="2"/>
        <bgColor rgb="FF8496B0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164" fontId="0" fillId="0" borderId="0"/>
    <xf numFmtId="0" fontId="1" fillId="0" borderId="12"/>
  </cellStyleXfs>
  <cellXfs count="209">
    <xf numFmtId="164" fontId="0" fillId="0" borderId="0" xfId="0"/>
    <xf numFmtId="0" fontId="2" fillId="0" borderId="0" xfId="0" applyNumberFormat="1" applyFont="1"/>
    <xf numFmtId="164" fontId="7" fillId="0" borderId="0" xfId="0" applyFont="1"/>
    <xf numFmtId="164" fontId="8" fillId="0" borderId="0" xfId="0" applyFont="1" applyAlignment="1">
      <alignment vertical="center"/>
    </xf>
    <xf numFmtId="164" fontId="9" fillId="0" borderId="0" xfId="0" applyFont="1" applyAlignment="1">
      <alignment vertical="center"/>
    </xf>
    <xf numFmtId="164" fontId="5" fillId="0" borderId="0" xfId="0" applyFont="1" applyAlignment="1">
      <alignment vertical="center"/>
    </xf>
    <xf numFmtId="0" fontId="8" fillId="0" borderId="0" xfId="0" applyNumberFormat="1" applyFont="1" applyAlignment="1">
      <alignment vertical="center"/>
    </xf>
    <xf numFmtId="0" fontId="9" fillId="0" borderId="0" xfId="0" applyNumberFormat="1" applyFont="1"/>
    <xf numFmtId="164" fontId="9" fillId="0" borderId="0" xfId="0" applyFont="1"/>
    <xf numFmtId="164" fontId="8" fillId="0" borderId="0" xfId="0" applyFont="1" applyAlignment="1">
      <alignment vertical="center" wrapText="1"/>
    </xf>
    <xf numFmtId="164" fontId="9" fillId="0" borderId="0" xfId="0" applyFont="1" applyAlignment="1">
      <alignment vertical="center" wrapText="1"/>
    </xf>
    <xf numFmtId="164" fontId="5" fillId="4" borderId="12" xfId="0" applyFont="1" applyFill="1" applyBorder="1" applyAlignment="1">
      <alignment vertical="center"/>
    </xf>
    <xf numFmtId="0" fontId="9" fillId="0" borderId="12" xfId="0" applyNumberFormat="1" applyFont="1" applyBorder="1"/>
    <xf numFmtId="0" fontId="11" fillId="0" borderId="12" xfId="0" applyNumberFormat="1" applyFont="1" applyBorder="1" applyAlignment="1">
      <alignment vertical="top" wrapText="1"/>
    </xf>
    <xf numFmtId="164" fontId="12" fillId="0" borderId="12" xfId="0" applyFont="1" applyBorder="1" applyAlignment="1">
      <alignment vertical="top" wrapText="1"/>
    </xf>
    <xf numFmtId="0" fontId="12" fillId="0" borderId="12" xfId="0" applyNumberFormat="1" applyFont="1" applyBorder="1" applyAlignment="1">
      <alignment vertical="top" wrapText="1"/>
    </xf>
    <xf numFmtId="0" fontId="15" fillId="0" borderId="12" xfId="0" applyNumberFormat="1" applyFont="1" applyBorder="1"/>
    <xf numFmtId="0" fontId="13" fillId="0" borderId="12" xfId="0" applyNumberFormat="1" applyFont="1" applyBorder="1" applyAlignment="1">
      <alignment vertical="top" wrapText="1"/>
    </xf>
    <xf numFmtId="0" fontId="17" fillId="0" borderId="0" xfId="0" applyNumberFormat="1" applyFont="1"/>
    <xf numFmtId="164" fontId="19" fillId="0" borderId="0" xfId="0" applyFont="1"/>
    <xf numFmtId="164" fontId="8" fillId="0" borderId="0" xfId="0" applyFont="1"/>
    <xf numFmtId="0" fontId="8" fillId="0" borderId="0" xfId="0" applyNumberFormat="1" applyFont="1"/>
    <xf numFmtId="0" fontId="21" fillId="0" borderId="0" xfId="0" applyNumberFormat="1" applyFont="1"/>
    <xf numFmtId="164" fontId="21" fillId="0" borderId="0" xfId="0" applyFont="1"/>
    <xf numFmtId="0" fontId="22" fillId="0" borderId="0" xfId="0" applyNumberFormat="1" applyFont="1"/>
    <xf numFmtId="164" fontId="22" fillId="0" borderId="0" xfId="0" applyFont="1"/>
    <xf numFmtId="164" fontId="21" fillId="0" borderId="0" xfId="0" applyFont="1" applyAlignment="1">
      <alignment horizontal="left" vertical="center"/>
    </xf>
    <xf numFmtId="164" fontId="8" fillId="0" borderId="4" xfId="0" applyFont="1" applyBorder="1"/>
    <xf numFmtId="164" fontId="9" fillId="0" borderId="5" xfId="0" applyFont="1" applyBorder="1"/>
    <xf numFmtId="0" fontId="9" fillId="0" borderId="4" xfId="0" applyNumberFormat="1" applyFont="1" applyBorder="1"/>
    <xf numFmtId="164" fontId="9" fillId="0" borderId="4" xfId="0" applyFont="1" applyBorder="1"/>
    <xf numFmtId="164" fontId="8" fillId="0" borderId="6" xfId="0" applyFont="1" applyBorder="1"/>
    <xf numFmtId="164" fontId="8" fillId="0" borderId="8" xfId="0" applyFont="1" applyBorder="1"/>
    <xf numFmtId="164" fontId="9" fillId="0" borderId="8" xfId="0" applyFont="1" applyBorder="1"/>
    <xf numFmtId="164" fontId="9" fillId="0" borderId="7" xfId="0" applyFont="1" applyBorder="1"/>
    <xf numFmtId="164" fontId="9" fillId="0" borderId="6" xfId="0" applyFont="1" applyBorder="1"/>
    <xf numFmtId="164" fontId="8" fillId="0" borderId="9" xfId="0" applyFont="1" applyBorder="1"/>
    <xf numFmtId="164" fontId="8" fillId="0" borderId="10" xfId="0" applyFont="1" applyBorder="1"/>
    <xf numFmtId="164" fontId="8" fillId="0" borderId="11" xfId="0" applyFont="1" applyBorder="1"/>
    <xf numFmtId="0" fontId="8" fillId="0" borderId="4" xfId="0" applyNumberFormat="1" applyFont="1" applyBorder="1"/>
    <xf numFmtId="0" fontId="9" fillId="0" borderId="6" xfId="0" applyNumberFormat="1" applyFont="1" applyBorder="1"/>
    <xf numFmtId="0" fontId="8" fillId="0" borderId="6" xfId="0" applyNumberFormat="1" applyFont="1" applyBorder="1"/>
    <xf numFmtId="16" fontId="9" fillId="0" borderId="0" xfId="0" applyNumberFormat="1" applyFont="1"/>
    <xf numFmtId="0" fontId="9" fillId="0" borderId="9" xfId="0" applyNumberFormat="1" applyFont="1" applyBorder="1"/>
    <xf numFmtId="164" fontId="9" fillId="0" borderId="10" xfId="0" applyFont="1" applyBorder="1"/>
    <xf numFmtId="164" fontId="9" fillId="0" borderId="11" xfId="0" applyFont="1" applyBorder="1"/>
    <xf numFmtId="164" fontId="9" fillId="0" borderId="9" xfId="0" applyFont="1" applyBorder="1"/>
    <xf numFmtId="164" fontId="8" fillId="0" borderId="0" xfId="0" applyFont="1" applyAlignment="1">
      <alignment horizontal="center"/>
    </xf>
    <xf numFmtId="166" fontId="9" fillId="0" borderId="0" xfId="0" applyNumberFormat="1" applyFont="1"/>
    <xf numFmtId="0" fontId="9" fillId="5" borderId="12" xfId="1" applyFont="1" applyFill="1" applyAlignment="1">
      <alignment vertical="center"/>
    </xf>
    <xf numFmtId="0" fontId="24" fillId="5" borderId="12" xfId="1" applyFont="1" applyFill="1" applyAlignment="1">
      <alignment vertical="center"/>
    </xf>
    <xf numFmtId="0" fontId="1" fillId="0" borderId="12" xfId="1"/>
    <xf numFmtId="0" fontId="8" fillId="6" borderId="9" xfId="1" applyFont="1" applyFill="1" applyBorder="1" applyAlignment="1">
      <alignment vertical="center"/>
    </xf>
    <xf numFmtId="0" fontId="8" fillId="6" borderId="10" xfId="1" applyFont="1" applyFill="1" applyBorder="1" applyAlignment="1">
      <alignment vertical="center"/>
    </xf>
    <xf numFmtId="0" fontId="9" fillId="5" borderId="28" xfId="1" applyFont="1" applyFill="1" applyBorder="1" applyAlignment="1">
      <alignment vertical="center"/>
    </xf>
    <xf numFmtId="0" fontId="9" fillId="5" borderId="24" xfId="1" applyFont="1" applyFill="1" applyBorder="1" applyAlignment="1">
      <alignment vertical="center"/>
    </xf>
    <xf numFmtId="0" fontId="9" fillId="5" borderId="24" xfId="1" applyFont="1" applyFill="1" applyBorder="1" applyAlignment="1">
      <alignment horizontal="left" vertical="center"/>
    </xf>
    <xf numFmtId="169" fontId="9" fillId="5" borderId="24" xfId="1" applyNumberFormat="1" applyFont="1" applyFill="1" applyBorder="1" applyAlignment="1">
      <alignment vertical="center"/>
    </xf>
    <xf numFmtId="169" fontId="9" fillId="5" borderId="24" xfId="1" applyNumberFormat="1" applyFont="1" applyFill="1" applyBorder="1" applyAlignment="1">
      <alignment horizontal="left" vertical="center"/>
    </xf>
    <xf numFmtId="0" fontId="1" fillId="0" borderId="24" xfId="1" applyBorder="1"/>
    <xf numFmtId="0" fontId="1" fillId="0" borderId="29" xfId="1" applyBorder="1"/>
    <xf numFmtId="0" fontId="9" fillId="5" borderId="12" xfId="1" applyFont="1" applyFill="1"/>
    <xf numFmtId="0" fontId="25" fillId="5" borderId="12" xfId="1" applyFont="1" applyFill="1"/>
    <xf numFmtId="0" fontId="8" fillId="7" borderId="9" xfId="1" applyFont="1" applyFill="1" applyBorder="1" applyAlignment="1">
      <alignment vertical="center"/>
    </xf>
    <xf numFmtId="0" fontId="8" fillId="7" borderId="10" xfId="1" applyFont="1" applyFill="1" applyBorder="1" applyAlignment="1">
      <alignment vertical="center"/>
    </xf>
    <xf numFmtId="0" fontId="8" fillId="7" borderId="11" xfId="1" applyFont="1" applyFill="1" applyBorder="1" applyAlignment="1">
      <alignment vertical="center"/>
    </xf>
    <xf numFmtId="0" fontId="9" fillId="5" borderId="10" xfId="1" applyFont="1" applyFill="1" applyBorder="1" applyAlignment="1">
      <alignment vertical="center"/>
    </xf>
    <xf numFmtId="0" fontId="9" fillId="0" borderId="10" xfId="1" applyFont="1" applyBorder="1" applyAlignment="1">
      <alignment vertical="center"/>
    </xf>
    <xf numFmtId="0" fontId="9" fillId="7" borderId="10" xfId="1" applyFont="1" applyFill="1" applyBorder="1" applyAlignment="1">
      <alignment vertical="center"/>
    </xf>
    <xf numFmtId="0" fontId="9" fillId="7" borderId="11" xfId="1" applyFont="1" applyFill="1" applyBorder="1" applyAlignment="1">
      <alignment vertical="center"/>
    </xf>
    <xf numFmtId="0" fontId="9" fillId="5" borderId="9" xfId="1" applyFont="1" applyFill="1" applyBorder="1" applyAlignment="1">
      <alignment vertical="center"/>
    </xf>
    <xf numFmtId="0" fontId="9" fillId="5" borderId="10" xfId="1" applyFont="1" applyFill="1" applyBorder="1" applyAlignment="1">
      <alignment vertical="center" shrinkToFit="1"/>
    </xf>
    <xf numFmtId="0" fontId="9" fillId="5" borderId="10" xfId="1" applyFont="1" applyFill="1" applyBorder="1"/>
    <xf numFmtId="0" fontId="9" fillId="5" borderId="23" xfId="1" applyFont="1" applyFill="1" applyBorder="1" applyAlignment="1">
      <alignment vertical="center"/>
    </xf>
    <xf numFmtId="0" fontId="9" fillId="5" borderId="12" xfId="1" applyFont="1" applyFill="1" applyAlignment="1">
      <alignment horizontal="left" vertical="center"/>
    </xf>
    <xf numFmtId="169" fontId="9" fillId="5" borderId="12" xfId="1" applyNumberFormat="1" applyFont="1" applyFill="1" applyAlignment="1">
      <alignment vertical="center"/>
    </xf>
    <xf numFmtId="169" fontId="9" fillId="5" borderId="12" xfId="1" applyNumberFormat="1" applyFont="1" applyFill="1" applyAlignment="1">
      <alignment horizontal="left" vertical="center"/>
    </xf>
    <xf numFmtId="0" fontId="1" fillId="0" borderId="22" xfId="1" applyBorder="1"/>
    <xf numFmtId="0" fontId="9" fillId="5" borderId="4" xfId="1" applyFont="1" applyFill="1" applyBorder="1" applyAlignment="1">
      <alignment vertical="center"/>
    </xf>
    <xf numFmtId="0" fontId="9" fillId="5" borderId="25" xfId="1" applyFont="1" applyFill="1" applyBorder="1" applyAlignment="1">
      <alignment vertical="center"/>
    </xf>
    <xf numFmtId="0" fontId="9" fillId="5" borderId="26" xfId="1" applyFont="1" applyFill="1" applyBorder="1" applyAlignment="1">
      <alignment vertical="center"/>
    </xf>
    <xf numFmtId="0" fontId="9" fillId="5" borderId="26" xfId="1" applyFont="1" applyFill="1" applyBorder="1" applyAlignment="1">
      <alignment horizontal="left" vertical="center"/>
    </xf>
    <xf numFmtId="169" fontId="9" fillId="5" borderId="26" xfId="1" applyNumberFormat="1" applyFont="1" applyFill="1" applyBorder="1" applyAlignment="1">
      <alignment vertical="center"/>
    </xf>
    <xf numFmtId="169" fontId="9" fillId="5" borderId="26" xfId="1" applyNumberFormat="1" applyFont="1" applyFill="1" applyBorder="1" applyAlignment="1">
      <alignment horizontal="left" vertical="center"/>
    </xf>
    <xf numFmtId="0" fontId="1" fillId="0" borderId="26" xfId="1" applyBorder="1"/>
    <xf numFmtId="0" fontId="1" fillId="0" borderId="27" xfId="1" applyBorder="1"/>
    <xf numFmtId="0" fontId="9" fillId="5" borderId="12" xfId="1" applyFont="1" applyFill="1" applyAlignment="1">
      <alignment horizontal="left"/>
    </xf>
    <xf numFmtId="0" fontId="13" fillId="8" borderId="9" xfId="1" applyFont="1" applyFill="1" applyBorder="1" applyAlignment="1">
      <alignment vertical="top" wrapText="1"/>
    </xf>
    <xf numFmtId="0" fontId="8" fillId="8" borderId="10" xfId="1" applyFont="1" applyFill="1" applyBorder="1" applyAlignment="1">
      <alignment vertical="center"/>
    </xf>
    <xf numFmtId="0" fontId="8" fillId="8" borderId="11" xfId="1" applyFont="1" applyFill="1" applyBorder="1" applyAlignment="1">
      <alignment vertical="center"/>
    </xf>
    <xf numFmtId="0" fontId="8" fillId="9" borderId="10" xfId="1" applyFont="1" applyFill="1" applyBorder="1" applyAlignment="1">
      <alignment vertical="center"/>
    </xf>
    <xf numFmtId="0" fontId="9" fillId="9" borderId="10" xfId="1" applyFont="1" applyFill="1" applyBorder="1" applyAlignment="1">
      <alignment horizontal="left"/>
    </xf>
    <xf numFmtId="0" fontId="9" fillId="9" borderId="8" xfId="1" applyFont="1" applyFill="1" applyBorder="1" applyAlignment="1">
      <alignment horizontal="left"/>
    </xf>
    <xf numFmtId="0" fontId="9" fillId="9" borderId="7" xfId="1" applyFont="1" applyFill="1" applyBorder="1" applyAlignment="1">
      <alignment horizontal="left"/>
    </xf>
    <xf numFmtId="0" fontId="24" fillId="5" borderId="12" xfId="1" applyFont="1" applyFill="1" applyAlignment="1">
      <alignment horizontal="left"/>
    </xf>
    <xf numFmtId="0" fontId="26" fillId="5" borderId="1" xfId="1" applyFont="1" applyFill="1" applyBorder="1" applyAlignment="1">
      <alignment vertical="top" wrapText="1"/>
    </xf>
    <xf numFmtId="0" fontId="9" fillId="5" borderId="3" xfId="1" applyFont="1" applyFill="1" applyBorder="1" applyAlignment="1">
      <alignment vertical="center"/>
    </xf>
    <xf numFmtId="49" fontId="9" fillId="5" borderId="12" xfId="1" applyNumberFormat="1" applyFont="1" applyFill="1" applyAlignment="1">
      <alignment vertical="center"/>
    </xf>
    <xf numFmtId="170" fontId="9" fillId="5" borderId="12" xfId="1" applyNumberFormat="1" applyFont="1" applyFill="1" applyAlignment="1">
      <alignment horizontal="left" vertical="center"/>
    </xf>
    <xf numFmtId="0" fontId="9" fillId="5" borderId="5" xfId="1" applyFont="1" applyFill="1" applyBorder="1" applyAlignment="1">
      <alignment vertical="center"/>
    </xf>
    <xf numFmtId="0" fontId="25" fillId="5" borderId="12" xfId="1" applyFont="1" applyFill="1" applyAlignment="1">
      <alignment vertical="center"/>
    </xf>
    <xf numFmtId="0" fontId="26" fillId="5" borderId="4" xfId="1" applyFont="1" applyFill="1" applyBorder="1" applyAlignment="1">
      <alignment vertical="top" wrapText="1"/>
    </xf>
    <xf numFmtId="0" fontId="25" fillId="5" borderId="5" xfId="1" applyFont="1" applyFill="1" applyBorder="1" applyAlignment="1">
      <alignment vertical="center"/>
    </xf>
    <xf numFmtId="0" fontId="26" fillId="0" borderId="4" xfId="1" applyFont="1" applyBorder="1" applyAlignment="1">
      <alignment vertical="top" wrapText="1"/>
    </xf>
    <xf numFmtId="0" fontId="24" fillId="0" borderId="12" xfId="1" applyFont="1" applyAlignment="1">
      <alignment vertical="center"/>
    </xf>
    <xf numFmtId="0" fontId="27" fillId="5" borderId="12" xfId="1" applyFont="1" applyFill="1" applyAlignment="1">
      <alignment vertical="center"/>
    </xf>
    <xf numFmtId="0" fontId="26" fillId="10" borderId="9" xfId="1" applyFont="1" applyFill="1" applyBorder="1" applyAlignment="1">
      <alignment vertical="top" wrapText="1"/>
    </xf>
    <xf numFmtId="0" fontId="28" fillId="10" borderId="10" xfId="1" applyFont="1" applyFill="1" applyBorder="1" applyAlignment="1">
      <alignment vertical="center"/>
    </xf>
    <xf numFmtId="0" fontId="29" fillId="10" borderId="10" xfId="1" applyFont="1" applyFill="1" applyBorder="1" applyAlignment="1">
      <alignment vertical="center"/>
    </xf>
    <xf numFmtId="0" fontId="29" fillId="10" borderId="11" xfId="1" applyFont="1" applyFill="1" applyBorder="1" applyAlignment="1">
      <alignment vertical="center"/>
    </xf>
    <xf numFmtId="0" fontId="27" fillId="11" borderId="12" xfId="1" applyFont="1" applyFill="1" applyAlignment="1">
      <alignment vertical="center"/>
    </xf>
    <xf numFmtId="0" fontId="26" fillId="12" borderId="18" xfId="1" applyFont="1" applyFill="1" applyBorder="1" applyAlignment="1">
      <alignment vertical="top" wrapText="1"/>
    </xf>
    <xf numFmtId="0" fontId="28" fillId="12" borderId="12" xfId="1" applyFont="1" applyFill="1" applyAlignment="1">
      <alignment vertical="center"/>
    </xf>
    <xf numFmtId="0" fontId="29" fillId="12" borderId="12" xfId="1" applyFont="1" applyFill="1" applyAlignment="1">
      <alignment vertical="center"/>
    </xf>
    <xf numFmtId="0" fontId="29" fillId="12" borderId="5" xfId="1" applyFont="1" applyFill="1" applyBorder="1" applyAlignment="1">
      <alignment vertical="center"/>
    </xf>
    <xf numFmtId="0" fontId="1" fillId="13" borderId="12" xfId="1" applyFill="1"/>
    <xf numFmtId="0" fontId="26" fillId="14" borderId="23" xfId="1" applyFont="1" applyFill="1" applyBorder="1" applyAlignment="1">
      <alignment vertical="top" wrapText="1"/>
    </xf>
    <xf numFmtId="0" fontId="30" fillId="0" borderId="12" xfId="1" applyFont="1" applyAlignment="1">
      <alignment vertical="center"/>
    </xf>
    <xf numFmtId="0" fontId="30" fillId="5" borderId="12" xfId="1" applyFont="1" applyFill="1" applyAlignment="1">
      <alignment vertical="center"/>
    </xf>
    <xf numFmtId="49" fontId="30" fillId="5" borderId="12" xfId="1" applyNumberFormat="1" applyFont="1" applyFill="1" applyAlignment="1">
      <alignment vertical="center"/>
    </xf>
    <xf numFmtId="170" fontId="30" fillId="5" borderId="12" xfId="1" applyNumberFormat="1" applyFont="1" applyFill="1" applyAlignment="1">
      <alignment horizontal="left" vertical="center"/>
    </xf>
    <xf numFmtId="0" fontId="30" fillId="5" borderId="12" xfId="1" applyFont="1" applyFill="1" applyAlignment="1">
      <alignment horizontal="left" vertical="center"/>
    </xf>
    <xf numFmtId="0" fontId="24" fillId="5" borderId="5" xfId="1" applyFont="1" applyFill="1" applyBorder="1" applyAlignment="1">
      <alignment vertical="center"/>
    </xf>
    <xf numFmtId="0" fontId="26" fillId="5" borderId="23" xfId="1" applyFont="1" applyFill="1" applyBorder="1" applyAlignment="1">
      <alignment vertical="top" wrapText="1"/>
    </xf>
    <xf numFmtId="0" fontId="26" fillId="5" borderId="6" xfId="1" applyFont="1" applyFill="1" applyBorder="1" applyAlignment="1">
      <alignment vertical="top" wrapText="1"/>
    </xf>
    <xf numFmtId="0" fontId="24" fillId="5" borderId="8" xfId="1" applyFont="1" applyFill="1" applyBorder="1" applyAlignment="1">
      <alignment vertical="center"/>
    </xf>
    <xf numFmtId="0" fontId="24" fillId="5" borderId="7" xfId="1" applyFont="1" applyFill="1" applyBorder="1" applyAlignment="1">
      <alignment vertical="center"/>
    </xf>
    <xf numFmtId="0" fontId="26" fillId="5" borderId="12" xfId="1" applyFont="1" applyFill="1" applyAlignment="1">
      <alignment vertical="top" wrapText="1"/>
    </xf>
    <xf numFmtId="164" fontId="16" fillId="0" borderId="12" xfId="0" applyFont="1" applyBorder="1" applyAlignment="1">
      <alignment vertical="top" wrapText="1"/>
    </xf>
    <xf numFmtId="164" fontId="18" fillId="0" borderId="12" xfId="0" applyFont="1" applyBorder="1" applyAlignment="1">
      <alignment vertical="top" wrapText="1"/>
    </xf>
    <xf numFmtId="164" fontId="22" fillId="0" borderId="12" xfId="0" applyFont="1" applyBorder="1" applyAlignment="1">
      <alignment vertical="top" wrapText="1"/>
    </xf>
    <xf numFmtId="164" fontId="21" fillId="0" borderId="12" xfId="0" applyFont="1" applyBorder="1" applyAlignment="1">
      <alignment vertical="top" wrapText="1"/>
    </xf>
    <xf numFmtId="164" fontId="9" fillId="0" borderId="1" xfId="0" applyFont="1" applyBorder="1" applyAlignment="1">
      <alignment horizontal="center" vertical="center" wrapText="1"/>
    </xf>
    <xf numFmtId="0" fontId="13" fillId="0" borderId="3" xfId="0" applyNumberFormat="1" applyFont="1" applyBorder="1"/>
    <xf numFmtId="0" fontId="13" fillId="0" borderId="2" xfId="0" applyNumberFormat="1" applyFont="1" applyBorder="1"/>
    <xf numFmtId="0" fontId="13" fillId="0" borderId="4" xfId="0" applyNumberFormat="1" applyFont="1" applyBorder="1"/>
    <xf numFmtId="164" fontId="9" fillId="0" borderId="0" xfId="0" applyFont="1"/>
    <xf numFmtId="0" fontId="13" fillId="0" borderId="5" xfId="0" applyNumberFormat="1" applyFont="1" applyBorder="1"/>
    <xf numFmtId="0" fontId="13" fillId="0" borderId="6" xfId="0" applyNumberFormat="1" applyFont="1" applyBorder="1"/>
    <xf numFmtId="0" fontId="13" fillId="0" borderId="8" xfId="0" applyNumberFormat="1" applyFont="1" applyBorder="1"/>
    <xf numFmtId="0" fontId="13" fillId="0" borderId="7" xfId="0" applyNumberFormat="1" applyFont="1" applyBorder="1"/>
    <xf numFmtId="164" fontId="9" fillId="0" borderId="9" xfId="0" applyFont="1" applyBorder="1" applyAlignment="1">
      <alignment horizontal="center" vertical="center"/>
    </xf>
    <xf numFmtId="0" fontId="13" fillId="0" borderId="10" xfId="0" applyNumberFormat="1" applyFont="1" applyBorder="1"/>
    <xf numFmtId="0" fontId="13" fillId="0" borderId="11" xfId="0" applyNumberFormat="1" applyFont="1" applyBorder="1"/>
    <xf numFmtId="164" fontId="20" fillId="2" borderId="1" xfId="0" applyFont="1" applyFill="1" applyBorder="1" applyAlignment="1">
      <alignment horizontal="center" vertical="center"/>
    </xf>
    <xf numFmtId="164" fontId="9" fillId="0" borderId="1" xfId="0" applyFont="1" applyBorder="1" applyAlignment="1">
      <alignment horizontal="center" vertical="center"/>
    </xf>
    <xf numFmtId="0" fontId="13" fillId="0" borderId="12" xfId="0" applyNumberFormat="1" applyFont="1" applyBorder="1"/>
    <xf numFmtId="164" fontId="8" fillId="0" borderId="1" xfId="0" applyFont="1" applyBorder="1" applyAlignment="1">
      <alignment horizontal="center" vertical="center"/>
    </xf>
    <xf numFmtId="164" fontId="20" fillId="2" borderId="3" xfId="0" applyFont="1" applyFill="1" applyBorder="1" applyAlignment="1">
      <alignment horizontal="center" vertical="center"/>
    </xf>
    <xf numFmtId="164" fontId="8" fillId="0" borderId="9" xfId="0" applyFont="1" applyBorder="1" applyAlignment="1">
      <alignment horizontal="center" vertical="center" wrapText="1"/>
    </xf>
    <xf numFmtId="164" fontId="9" fillId="0" borderId="9" xfId="0" applyFont="1" applyBorder="1" applyAlignment="1">
      <alignment horizontal="center" vertical="center" wrapText="1"/>
    </xf>
    <xf numFmtId="16" fontId="9" fillId="0" borderId="9" xfId="0" applyNumberFormat="1" applyFont="1" applyBorder="1" applyAlignment="1">
      <alignment horizontal="center" vertical="center" wrapText="1"/>
    </xf>
    <xf numFmtId="164" fontId="23" fillId="2" borderId="9" xfId="0" applyFont="1" applyFill="1" applyBorder="1" applyAlignment="1">
      <alignment horizontal="left" wrapText="1"/>
    </xf>
    <xf numFmtId="166" fontId="9" fillId="3" borderId="9" xfId="0" applyNumberFormat="1" applyFont="1" applyFill="1" applyBorder="1" applyAlignment="1">
      <alignment horizontal="center" wrapText="1"/>
    </xf>
    <xf numFmtId="167" fontId="9" fillId="3" borderId="9" xfId="0" applyNumberFormat="1" applyFont="1" applyFill="1" applyBorder="1" applyAlignment="1">
      <alignment horizontal="center" wrapText="1"/>
    </xf>
    <xf numFmtId="0" fontId="9" fillId="0" borderId="9" xfId="0" applyNumberFormat="1" applyFont="1" applyBorder="1" applyAlignment="1">
      <alignment horizontal="center" vertical="center" wrapText="1"/>
    </xf>
    <xf numFmtId="168" fontId="9" fillId="0" borderId="9" xfId="0" applyNumberFormat="1" applyFont="1" applyBorder="1" applyAlignment="1">
      <alignment horizontal="center" vertical="center" wrapText="1"/>
    </xf>
    <xf numFmtId="164" fontId="23" fillId="2" borderId="9" xfId="0" applyFont="1" applyFill="1" applyBorder="1" applyAlignment="1">
      <alignment horizontal="center" wrapText="1"/>
    </xf>
    <xf numFmtId="164" fontId="9" fillId="0" borderId="1" xfId="0" applyFont="1" applyBorder="1" applyAlignment="1">
      <alignment horizontal="center"/>
    </xf>
    <xf numFmtId="165" fontId="9" fillId="0" borderId="0" xfId="0" applyNumberFormat="1" applyFont="1" applyAlignment="1">
      <alignment horizontal="left"/>
    </xf>
    <xf numFmtId="164" fontId="8" fillId="0" borderId="0" xfId="0" applyFont="1" applyAlignment="1">
      <alignment horizontal="center" vertical="top"/>
    </xf>
    <xf numFmtId="0" fontId="9" fillId="3" borderId="13" xfId="0" applyNumberFormat="1" applyFont="1" applyFill="1" applyBorder="1" applyAlignment="1">
      <alignment horizontal="center" wrapText="1"/>
    </xf>
    <xf numFmtId="0" fontId="9" fillId="0" borderId="10" xfId="0" applyNumberFormat="1" applyFont="1" applyBorder="1"/>
    <xf numFmtId="0" fontId="9" fillId="0" borderId="11" xfId="0" applyNumberFormat="1" applyFont="1" applyBorder="1"/>
    <xf numFmtId="164" fontId="9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/>
    </xf>
    <xf numFmtId="164" fontId="9" fillId="0" borderId="9" xfId="0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68" fontId="9" fillId="0" borderId="9" xfId="0" applyNumberFormat="1" applyFont="1" applyBorder="1" applyAlignment="1">
      <alignment horizontal="center"/>
    </xf>
    <xf numFmtId="0" fontId="9" fillId="0" borderId="9" xfId="0" applyNumberFormat="1" applyFont="1" applyBorder="1" applyAlignment="1">
      <alignment horizontal="center"/>
    </xf>
    <xf numFmtId="164" fontId="23" fillId="2" borderId="1" xfId="0" applyFont="1" applyFill="1" applyBorder="1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/>
    </xf>
    <xf numFmtId="0" fontId="9" fillId="0" borderId="4" xfId="0" applyNumberFormat="1" applyFont="1" applyBorder="1"/>
    <xf numFmtId="0" fontId="9" fillId="0" borderId="12" xfId="0" applyNumberFormat="1" applyFont="1" applyBorder="1"/>
    <xf numFmtId="0" fontId="9" fillId="0" borderId="5" xfId="0" applyNumberFormat="1" applyFont="1" applyBorder="1"/>
    <xf numFmtId="0" fontId="8" fillId="0" borderId="1" xfId="0" applyNumberFormat="1" applyFont="1" applyBorder="1" applyAlignment="1">
      <alignment horizontal="left" vertical="top"/>
    </xf>
    <xf numFmtId="0" fontId="13" fillId="0" borderId="12" xfId="0" applyNumberFormat="1" applyFont="1" applyBorder="1" applyAlignment="1">
      <alignment vertical="top" wrapText="1"/>
    </xf>
    <xf numFmtId="0" fontId="13" fillId="0" borderId="14" xfId="0" applyNumberFormat="1" applyFont="1" applyBorder="1" applyAlignment="1">
      <alignment vertical="top" wrapText="1"/>
    </xf>
    <xf numFmtId="0" fontId="14" fillId="0" borderId="14" xfId="0" applyNumberFormat="1" applyFont="1" applyBorder="1" applyAlignment="1">
      <alignment vertical="top" wrapText="1"/>
    </xf>
    <xf numFmtId="0" fontId="13" fillId="0" borderId="24" xfId="0" applyNumberFormat="1" applyFont="1" applyBorder="1" applyAlignment="1">
      <alignment vertical="top" wrapText="1"/>
    </xf>
    <xf numFmtId="164" fontId="14" fillId="0" borderId="14" xfId="0" applyFont="1" applyBorder="1" applyAlignment="1">
      <alignment vertical="top" wrapText="1"/>
    </xf>
    <xf numFmtId="164" fontId="8" fillId="0" borderId="14" xfId="0" applyFont="1" applyBorder="1" applyAlignment="1">
      <alignment horizontal="center" vertical="center" wrapText="1"/>
    </xf>
    <xf numFmtId="164" fontId="10" fillId="0" borderId="14" xfId="0" applyFont="1" applyBorder="1" applyAlignment="1">
      <alignment horizontal="left"/>
    </xf>
    <xf numFmtId="164" fontId="10" fillId="0" borderId="15" xfId="0" applyFont="1" applyBorder="1" applyAlignment="1">
      <alignment horizontal="left"/>
    </xf>
    <xf numFmtId="164" fontId="10" fillId="0" borderId="16" xfId="0" applyFont="1" applyBorder="1" applyAlignment="1">
      <alignment horizontal="left"/>
    </xf>
    <xf numFmtId="164" fontId="10" fillId="0" borderId="17" xfId="0" applyFont="1" applyBorder="1" applyAlignment="1">
      <alignment horizontal="left"/>
    </xf>
    <xf numFmtId="164" fontId="10" fillId="0" borderId="19" xfId="0" applyFont="1" applyBorder="1" applyAlignment="1">
      <alignment horizontal="left"/>
    </xf>
    <xf numFmtId="164" fontId="10" fillId="0" borderId="20" xfId="0" applyFont="1" applyBorder="1" applyAlignment="1">
      <alignment horizontal="left"/>
    </xf>
    <xf numFmtId="164" fontId="10" fillId="0" borderId="21" xfId="0" applyFont="1" applyBorder="1" applyAlignment="1">
      <alignment horizontal="left"/>
    </xf>
    <xf numFmtId="164" fontId="5" fillId="0" borderId="1" xfId="0" applyFont="1" applyBorder="1" applyAlignment="1">
      <alignment horizontal="center" vertical="center" wrapText="1"/>
    </xf>
    <xf numFmtId="0" fontId="4" fillId="0" borderId="3" xfId="0" applyNumberFormat="1" applyFont="1" applyBorder="1"/>
    <xf numFmtId="0" fontId="4" fillId="0" borderId="4" xfId="0" applyNumberFormat="1" applyFont="1" applyBorder="1"/>
    <xf numFmtId="164" fontId="7" fillId="0" borderId="0" xfId="0" applyFont="1"/>
    <xf numFmtId="0" fontId="4" fillId="0" borderId="6" xfId="0" applyNumberFormat="1" applyFont="1" applyBorder="1"/>
    <xf numFmtId="0" fontId="4" fillId="0" borderId="8" xfId="0" applyNumberFormat="1" applyFont="1" applyBorder="1"/>
    <xf numFmtId="164" fontId="5" fillId="0" borderId="9" xfId="0" applyFont="1" applyBorder="1" applyAlignment="1">
      <alignment horizontal="center" vertical="center"/>
    </xf>
    <xf numFmtId="0" fontId="4" fillId="0" borderId="10" xfId="0" applyNumberFormat="1" applyFont="1" applyBorder="1"/>
    <xf numFmtId="0" fontId="4" fillId="0" borderId="11" xfId="0" applyNumberFormat="1" applyFont="1" applyBorder="1"/>
    <xf numFmtId="0" fontId="4" fillId="0" borderId="2" xfId="0" applyNumberFormat="1" applyFont="1" applyBorder="1"/>
    <xf numFmtId="0" fontId="4" fillId="0" borderId="5" xfId="0" applyNumberFormat="1" applyFont="1" applyBorder="1"/>
    <xf numFmtId="0" fontId="4" fillId="0" borderId="7" xfId="0" applyNumberFormat="1" applyFont="1" applyBorder="1"/>
    <xf numFmtId="164" fontId="8" fillId="0" borderId="1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 wrapText="1"/>
    </xf>
    <xf numFmtId="164" fontId="8" fillId="0" borderId="2" xfId="0" applyFont="1" applyBorder="1" applyAlignment="1">
      <alignment horizontal="center" vertical="center" wrapText="1"/>
    </xf>
    <xf numFmtId="164" fontId="3" fillId="2" borderId="1" xfId="0" applyFont="1" applyFill="1" applyBorder="1" applyAlignment="1">
      <alignment horizontal="center" vertical="center"/>
    </xf>
    <xf numFmtId="0" fontId="4" fillId="0" borderId="12" xfId="0" applyNumberFormat="1" applyFont="1" applyBorder="1"/>
    <xf numFmtId="164" fontId="6" fillId="0" borderId="1" xfId="0" applyFont="1" applyBorder="1" applyAlignment="1">
      <alignment horizontal="center" vertical="center" wrapText="1"/>
    </xf>
    <xf numFmtId="164" fontId="3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0DA6303-DDA2-485E-8554-036261D8FA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19050</xdr:colOff>
      <xdr:row>5</xdr:row>
      <xdr:rowOff>0</xdr:rowOff>
    </xdr:from>
    <xdr:ext cx="247650" cy="3238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25</xdr:col>
      <xdr:colOff>9525</xdr:colOff>
      <xdr:row>5</xdr:row>
      <xdr:rowOff>0</xdr:rowOff>
    </xdr:from>
    <xdr:ext cx="24765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19</xdr:col>
      <xdr:colOff>19050</xdr:colOff>
      <xdr:row>5</xdr:row>
      <xdr:rowOff>0</xdr:rowOff>
    </xdr:from>
    <xdr:ext cx="247650" cy="3238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3</xdr:col>
      <xdr:colOff>9525</xdr:colOff>
      <xdr:row>42</xdr:row>
      <xdr:rowOff>0</xdr:rowOff>
    </xdr:from>
    <xdr:ext cx="247650" cy="3238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21</xdr:col>
      <xdr:colOff>19050</xdr:colOff>
      <xdr:row>5</xdr:row>
      <xdr:rowOff>0</xdr:rowOff>
    </xdr:from>
    <xdr:ext cx="247650" cy="3238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25</xdr:col>
      <xdr:colOff>9525</xdr:colOff>
      <xdr:row>5</xdr:row>
      <xdr:rowOff>0</xdr:rowOff>
    </xdr:from>
    <xdr:ext cx="247650" cy="3238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19</xdr:col>
      <xdr:colOff>19050</xdr:colOff>
      <xdr:row>5</xdr:row>
      <xdr:rowOff>0</xdr:rowOff>
    </xdr:from>
    <xdr:ext cx="247650" cy="3238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  <xdr:oneCellAnchor>
    <xdr:from>
      <xdr:col>3</xdr:col>
      <xdr:colOff>9525</xdr:colOff>
      <xdr:row>42</xdr:row>
      <xdr:rowOff>0</xdr:rowOff>
    </xdr:from>
    <xdr:ext cx="247650" cy="3238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Grp="1"/>
        </xdr:cNvSpPr>
      </xdr:nvSpPr>
      <xdr:spPr>
        <a:xfrm>
          <a:off x="5226938" y="3622838"/>
          <a:ext cx="2381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>
          <a:spAutoFit/>
        </a:bodyPr>
        <a:lstStyle/>
        <a:p>
          <a:pPr marL="0" indent="0" algn="l">
            <a:buNone/>
          </a:pPr>
          <a:endParaRPr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19</xdr:col>
      <xdr:colOff>223874</xdr:colOff>
      <xdr:row>17</xdr:row>
      <xdr:rowOff>146539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2AD65-52D7-47D6-93CB-9AD67BCDF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1485900"/>
          <a:ext cx="10949024" cy="2870689"/>
        </a:xfrm>
        <a:prstGeom prst="rect">
          <a:avLst/>
        </a:prstGeom>
      </xdr:spPr>
    </xdr:pic>
    <xdr:clientData/>
  </xdr:twoCellAnchor>
  <xdr:twoCellAnchor editAs="oneCell">
    <xdr:from>
      <xdr:col>20</xdr:col>
      <xdr:colOff>158751</xdr:colOff>
      <xdr:row>6</xdr:row>
      <xdr:rowOff>0</xdr:rowOff>
    </xdr:from>
    <xdr:to>
      <xdr:col>55</xdr:col>
      <xdr:colOff>276061</xdr:colOff>
      <xdr:row>20</xdr:row>
      <xdr:rowOff>12212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A8B1C0-4140-4338-B8E7-DC2AD36A2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74451" y="1485900"/>
          <a:ext cx="10451935" cy="3479312"/>
        </a:xfrm>
        <a:prstGeom prst="rect">
          <a:avLst/>
        </a:prstGeom>
      </xdr:spPr>
    </xdr:pic>
    <xdr:clientData/>
  </xdr:twoCellAnchor>
  <xdr:twoCellAnchor editAs="oneCell">
    <xdr:from>
      <xdr:col>1</xdr:col>
      <xdr:colOff>85481</xdr:colOff>
      <xdr:row>30</xdr:row>
      <xdr:rowOff>92807</xdr:rowOff>
    </xdr:from>
    <xdr:to>
      <xdr:col>30</xdr:col>
      <xdr:colOff>157462</xdr:colOff>
      <xdr:row>45</xdr:row>
      <xdr:rowOff>244231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C8295-AB3C-4FDD-A51A-85DDC6BA9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0756" y="7522307"/>
          <a:ext cx="14045156" cy="3866174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48</xdr:row>
      <xdr:rowOff>18706</xdr:rowOff>
    </xdr:from>
    <xdr:to>
      <xdr:col>22</xdr:col>
      <xdr:colOff>153866</xdr:colOff>
      <xdr:row>60</xdr:row>
      <xdr:rowOff>234463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331974-ACF2-41C8-9649-BF22F0977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4583" y="11905906"/>
          <a:ext cx="11735533" cy="3187557"/>
        </a:xfrm>
        <a:prstGeom prst="rect">
          <a:avLst/>
        </a:prstGeom>
      </xdr:spPr>
    </xdr:pic>
    <xdr:clientData/>
  </xdr:twoCellAnchor>
  <xdr:twoCellAnchor editAs="oneCell">
    <xdr:from>
      <xdr:col>25</xdr:col>
      <xdr:colOff>7326</xdr:colOff>
      <xdr:row>48</xdr:row>
      <xdr:rowOff>227135</xdr:rowOff>
    </xdr:from>
    <xdr:to>
      <xdr:col>58</xdr:col>
      <xdr:colOff>285749</xdr:colOff>
      <xdr:row>56</xdr:row>
      <xdr:rowOff>153865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475F81-1DAD-4D36-8078-8182F2CF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99401" y="12114335"/>
          <a:ext cx="10022498" cy="1907930"/>
        </a:xfrm>
        <a:prstGeom prst="rect">
          <a:avLst/>
        </a:prstGeom>
      </xdr:spPr>
    </xdr:pic>
    <xdr:clientData/>
  </xdr:twoCellAnchor>
  <xdr:twoCellAnchor editAs="oneCell">
    <xdr:from>
      <xdr:col>1</xdr:col>
      <xdr:colOff>131885</xdr:colOff>
      <xdr:row>64</xdr:row>
      <xdr:rowOff>29307</xdr:rowOff>
    </xdr:from>
    <xdr:to>
      <xdr:col>1</xdr:col>
      <xdr:colOff>779675</xdr:colOff>
      <xdr:row>68</xdr:row>
      <xdr:rowOff>384882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C954B1-1CB4-4D83-A82B-95E9C86C2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7160" y="15878907"/>
          <a:ext cx="647790" cy="1565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dat2\Downloads\FS_ZPG_UPLOAD_SO%20(1).xlsx" TargetMode="External"/><Relationship Id="rId1" Type="http://schemas.openxmlformats.org/officeDocument/2006/relationships/externalLinkPath" Target="FS_ZPG_UPLOAD_S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Histories"/>
      <sheetName val="Function Overview"/>
      <sheetName val="Function Flow"/>
      <sheetName val="Screen Layout"/>
      <sheetName val="Processing Description"/>
      <sheetName val="Screen Definition"/>
      <sheetName val="Message Definition"/>
      <sheetName val="Source Code"/>
    </sheetNames>
    <sheetDataSet>
      <sheetData sheetId="0">
        <row r="12">
          <cell r="N12" t="str">
            <v>ZPG_UPLOAD_SO / ZPG_SO_ALV_EDIT</v>
          </cell>
        </row>
        <row r="13">
          <cell r="N13" t="str">
            <v>Upload Sales Order from Excel &amp; ALV Review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0"/>
  <sheetViews>
    <sheetView showGridLines="0" workbookViewId="0">
      <selection activeCell="AH23" sqref="AH23"/>
    </sheetView>
  </sheetViews>
  <sheetFormatPr defaultColWidth="14.3984375" defaultRowHeight="15.4" x14ac:dyDescent="0.45"/>
  <cols>
    <col min="1" max="32" width="2.86328125" style="8" customWidth="1"/>
    <col min="33" max="33" width="7.73046875" style="8" customWidth="1"/>
    <col min="34" max="34" width="3.59765625" style="8" customWidth="1"/>
    <col min="35" max="47" width="2.86328125" style="8" customWidth="1"/>
    <col min="48" max="16384" width="14.3984375" style="8"/>
  </cols>
  <sheetData>
    <row r="1" spans="1:47" x14ac:dyDescent="0.45">
      <c r="A1" s="144" t="s">
        <v>0</v>
      </c>
      <c r="B1" s="133"/>
      <c r="C1" s="134"/>
      <c r="D1" s="145" t="str">
        <f>Y12</f>
        <v>TS_UPLOAD_SO</v>
      </c>
      <c r="E1" s="133"/>
      <c r="F1" s="133"/>
      <c r="G1" s="133"/>
      <c r="H1" s="133"/>
      <c r="I1" s="133"/>
      <c r="J1" s="134"/>
      <c r="K1" s="144" t="s">
        <v>1</v>
      </c>
      <c r="L1" s="133"/>
      <c r="M1" s="133"/>
      <c r="N1" s="133"/>
      <c r="O1" s="145" t="str">
        <f ca="1">MID(CELL("filename",A1),FIND("]",CELL("filename",A1))+1,255)</f>
        <v>01.Cover</v>
      </c>
      <c r="P1" s="133"/>
      <c r="Q1" s="133"/>
      <c r="R1" s="133"/>
      <c r="S1" s="133"/>
      <c r="T1" s="133"/>
      <c r="U1" s="134"/>
      <c r="V1" s="148" t="s">
        <v>2</v>
      </c>
      <c r="W1" s="133"/>
      <c r="X1" s="133"/>
      <c r="Y1" s="133"/>
      <c r="Z1" s="132" t="str">
        <f>'01.Cover'!B9</f>
        <v>Technical Specification</v>
      </c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4"/>
    </row>
    <row r="2" spans="1:47" ht="14.25" customHeight="1" x14ac:dyDescent="0.45">
      <c r="A2" s="135"/>
      <c r="B2" s="136"/>
      <c r="C2" s="137"/>
      <c r="D2" s="135"/>
      <c r="E2" s="136"/>
      <c r="F2" s="136"/>
      <c r="G2" s="136"/>
      <c r="H2" s="136"/>
      <c r="I2" s="136"/>
      <c r="J2" s="137"/>
      <c r="K2" s="135"/>
      <c r="L2" s="136"/>
      <c r="M2" s="136"/>
      <c r="N2" s="146"/>
      <c r="O2" s="135"/>
      <c r="P2" s="136"/>
      <c r="Q2" s="136"/>
      <c r="R2" s="136"/>
      <c r="S2" s="136"/>
      <c r="T2" s="136"/>
      <c r="U2" s="137"/>
      <c r="V2" s="146"/>
      <c r="W2" s="136"/>
      <c r="X2" s="136"/>
      <c r="Y2" s="146"/>
      <c r="Z2" s="135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</row>
    <row r="3" spans="1:47" ht="14.25" customHeight="1" x14ac:dyDescent="0.45">
      <c r="A3" s="138"/>
      <c r="B3" s="139"/>
      <c r="C3" s="140"/>
      <c r="D3" s="138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8"/>
      <c r="P3" s="139"/>
      <c r="Q3" s="139"/>
      <c r="R3" s="139"/>
      <c r="S3" s="139"/>
      <c r="T3" s="139"/>
      <c r="U3" s="140"/>
      <c r="V3" s="139"/>
      <c r="W3" s="139"/>
      <c r="X3" s="139"/>
      <c r="Y3" s="139"/>
      <c r="Z3" s="138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40"/>
    </row>
    <row r="4" spans="1:47" x14ac:dyDescent="0.45">
      <c r="A4" s="158"/>
      <c r="B4" s="133"/>
      <c r="C4" s="133"/>
      <c r="D4" s="133"/>
      <c r="E4" s="133"/>
      <c r="F4" s="133"/>
      <c r="G4" s="159"/>
      <c r="H4" s="136"/>
      <c r="I4" s="136"/>
      <c r="J4" s="136"/>
      <c r="K4" s="136"/>
      <c r="L4" s="136"/>
      <c r="M4" s="136"/>
      <c r="N4" s="136"/>
      <c r="O4" s="136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U4" s="28"/>
    </row>
    <row r="5" spans="1:47" x14ac:dyDescent="0.45">
      <c r="A5" s="3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U5" s="28"/>
    </row>
    <row r="6" spans="1:47" x14ac:dyDescent="0.45">
      <c r="A6" s="3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U6" s="28"/>
    </row>
    <row r="7" spans="1:47" x14ac:dyDescent="0.45">
      <c r="A7" s="3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U7" s="28"/>
    </row>
    <row r="8" spans="1:47" x14ac:dyDescent="0.45">
      <c r="A8" s="3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U8" s="28"/>
    </row>
    <row r="9" spans="1:47" x14ac:dyDescent="0.45">
      <c r="A9" s="30"/>
      <c r="B9" s="160" t="s">
        <v>116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28"/>
    </row>
    <row r="10" spans="1:47" x14ac:dyDescent="0.45">
      <c r="A10" s="30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28"/>
    </row>
    <row r="11" spans="1:47" ht="14.25" customHeight="1" x14ac:dyDescent="0.45">
      <c r="A11" s="30"/>
      <c r="Y11" s="47"/>
      <c r="AU11" s="28"/>
    </row>
    <row r="12" spans="1:47" ht="14.25" customHeight="1" x14ac:dyDescent="0.45">
      <c r="A12" s="30"/>
      <c r="P12" s="152" t="s">
        <v>3</v>
      </c>
      <c r="Q12" s="142" t="s">
        <v>117</v>
      </c>
      <c r="R12" s="142"/>
      <c r="S12" s="142"/>
      <c r="T12" s="142"/>
      <c r="U12" s="142"/>
      <c r="V12" s="142"/>
      <c r="W12" s="142"/>
      <c r="X12" s="143"/>
      <c r="Y12" s="161" t="s">
        <v>143</v>
      </c>
      <c r="Z12" s="162"/>
      <c r="AA12" s="162"/>
      <c r="AB12" s="162"/>
      <c r="AC12" s="162"/>
      <c r="AD12" s="162"/>
      <c r="AE12" s="162"/>
      <c r="AF12" s="162"/>
      <c r="AG12" s="163"/>
      <c r="AU12" s="28"/>
    </row>
    <row r="13" spans="1:47" ht="12.75" customHeight="1" x14ac:dyDescent="0.45">
      <c r="A13" s="30"/>
      <c r="P13" s="152" t="s">
        <v>4</v>
      </c>
      <c r="Q13" s="142" t="s">
        <v>5</v>
      </c>
      <c r="R13" s="142"/>
      <c r="S13" s="142"/>
      <c r="T13" s="142"/>
      <c r="U13" s="142"/>
      <c r="V13" s="142"/>
      <c r="W13" s="142"/>
      <c r="X13" s="143"/>
      <c r="Y13" s="153" t="s">
        <v>5</v>
      </c>
      <c r="Z13" s="142"/>
      <c r="AA13" s="142"/>
      <c r="AB13" s="142"/>
      <c r="AC13" s="142"/>
      <c r="AD13" s="142"/>
      <c r="AE13" s="142"/>
      <c r="AF13" s="142"/>
      <c r="AG13" s="143"/>
      <c r="AH13" s="48"/>
      <c r="AK13" s="8" t="str">
        <f>TEXT(AH13,)</f>
        <v/>
      </c>
      <c r="AU13" s="28"/>
    </row>
    <row r="14" spans="1:47" ht="14.25" customHeight="1" x14ac:dyDescent="0.45">
      <c r="A14" s="30"/>
      <c r="P14" s="152" t="s">
        <v>6</v>
      </c>
      <c r="Q14" s="142" t="s">
        <v>118</v>
      </c>
      <c r="R14" s="142"/>
      <c r="S14" s="142"/>
      <c r="T14" s="142"/>
      <c r="U14" s="142"/>
      <c r="V14" s="142"/>
      <c r="W14" s="142"/>
      <c r="X14" s="143"/>
      <c r="Y14" s="154" t="s">
        <v>140</v>
      </c>
      <c r="Z14" s="142"/>
      <c r="AA14" s="142"/>
      <c r="AB14" s="142"/>
      <c r="AC14" s="142"/>
      <c r="AD14" s="142"/>
      <c r="AE14" s="142"/>
      <c r="AF14" s="142"/>
      <c r="AG14" s="143"/>
      <c r="AU14" s="28"/>
    </row>
    <row r="15" spans="1:47" x14ac:dyDescent="0.4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U15" s="28"/>
    </row>
    <row r="16" spans="1:47" x14ac:dyDescent="0.4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U16" s="28"/>
    </row>
    <row r="17" spans="1:47" x14ac:dyDescent="0.4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U17" s="28"/>
    </row>
    <row r="18" spans="1:47" x14ac:dyDescent="0.4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U18" s="28"/>
    </row>
    <row r="19" spans="1:47" x14ac:dyDescent="0.4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157" t="s">
        <v>7</v>
      </c>
      <c r="N19" s="142"/>
      <c r="O19" s="142"/>
      <c r="P19" s="142"/>
      <c r="Q19" s="142"/>
      <c r="R19" s="143"/>
      <c r="S19" s="157" t="s">
        <v>8</v>
      </c>
      <c r="T19" s="142"/>
      <c r="U19" s="142"/>
      <c r="V19" s="142"/>
      <c r="W19" s="142"/>
      <c r="X19" s="142"/>
      <c r="Y19" s="142"/>
      <c r="Z19" s="142"/>
      <c r="AA19" s="143"/>
      <c r="AB19" s="157" t="s">
        <v>9</v>
      </c>
      <c r="AC19" s="142"/>
      <c r="AD19" s="142"/>
      <c r="AE19" s="142"/>
      <c r="AF19" s="142"/>
      <c r="AG19" s="142"/>
      <c r="AH19" s="143"/>
      <c r="AI19" s="157" t="s">
        <v>10</v>
      </c>
      <c r="AJ19" s="142"/>
      <c r="AK19" s="142"/>
      <c r="AL19" s="142"/>
      <c r="AM19" s="143"/>
      <c r="AN19" s="7"/>
      <c r="AO19" s="7"/>
      <c r="AP19" s="7"/>
      <c r="AQ19" s="7"/>
      <c r="AR19" s="7"/>
      <c r="AU19" s="28"/>
    </row>
    <row r="20" spans="1:47" x14ac:dyDescent="0.4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149" t="s">
        <v>11</v>
      </c>
      <c r="N20" s="142"/>
      <c r="O20" s="142"/>
      <c r="P20" s="142"/>
      <c r="Q20" s="142"/>
      <c r="R20" s="143"/>
      <c r="S20" s="155" t="s">
        <v>141</v>
      </c>
      <c r="T20" s="142"/>
      <c r="U20" s="142"/>
      <c r="V20" s="142"/>
      <c r="W20" s="142"/>
      <c r="X20" s="142"/>
      <c r="Y20" s="142"/>
      <c r="Z20" s="142"/>
      <c r="AA20" s="143"/>
      <c r="AB20" s="155" t="s">
        <v>142</v>
      </c>
      <c r="AC20" s="142"/>
      <c r="AD20" s="142"/>
      <c r="AE20" s="142"/>
      <c r="AF20" s="142"/>
      <c r="AG20" s="142"/>
      <c r="AH20" s="143"/>
      <c r="AI20" s="156">
        <v>46360</v>
      </c>
      <c r="AJ20" s="142"/>
      <c r="AK20" s="142"/>
      <c r="AL20" s="142"/>
      <c r="AM20" s="143"/>
      <c r="AN20" s="7"/>
      <c r="AO20" s="7"/>
      <c r="AP20" s="7"/>
      <c r="AQ20" s="7"/>
      <c r="AR20" s="7"/>
      <c r="AU20" s="28"/>
    </row>
    <row r="21" spans="1:47" ht="14.25" customHeight="1" x14ac:dyDescent="0.4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149" t="s">
        <v>12</v>
      </c>
      <c r="N21" s="142"/>
      <c r="O21" s="142"/>
      <c r="P21" s="142"/>
      <c r="Q21" s="142"/>
      <c r="R21" s="143"/>
      <c r="S21" s="150"/>
      <c r="T21" s="142"/>
      <c r="U21" s="142"/>
      <c r="V21" s="142"/>
      <c r="W21" s="142"/>
      <c r="X21" s="142"/>
      <c r="Y21" s="142"/>
      <c r="Z21" s="142"/>
      <c r="AA21" s="143"/>
      <c r="AB21" s="150"/>
      <c r="AC21" s="142"/>
      <c r="AD21" s="142"/>
      <c r="AE21" s="142"/>
      <c r="AF21" s="142"/>
      <c r="AG21" s="142"/>
      <c r="AH21" s="143"/>
      <c r="AI21" s="151"/>
      <c r="AJ21" s="142"/>
      <c r="AK21" s="142"/>
      <c r="AL21" s="142"/>
      <c r="AM21" s="143"/>
      <c r="AN21" s="7"/>
      <c r="AO21" s="7"/>
      <c r="AP21" s="7"/>
      <c r="AQ21" s="7"/>
      <c r="AR21" s="7"/>
      <c r="AU21" s="28"/>
    </row>
    <row r="22" spans="1:47" ht="14.25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149" t="s">
        <v>13</v>
      </c>
      <c r="N22" s="142"/>
      <c r="O22" s="142"/>
      <c r="P22" s="142"/>
      <c r="Q22" s="142"/>
      <c r="R22" s="143"/>
      <c r="S22" s="150"/>
      <c r="T22" s="142"/>
      <c r="U22" s="142"/>
      <c r="V22" s="142"/>
      <c r="W22" s="142"/>
      <c r="X22" s="142"/>
      <c r="Y22" s="142"/>
      <c r="Z22" s="142"/>
      <c r="AA22" s="143"/>
      <c r="AB22" s="150"/>
      <c r="AC22" s="142"/>
      <c r="AD22" s="142"/>
      <c r="AE22" s="142"/>
      <c r="AF22" s="142"/>
      <c r="AG22" s="142"/>
      <c r="AH22" s="143"/>
      <c r="AI22" s="150"/>
      <c r="AJ22" s="142"/>
      <c r="AK22" s="142"/>
      <c r="AL22" s="142"/>
      <c r="AM22" s="143"/>
      <c r="AN22" s="7"/>
      <c r="AO22" s="7"/>
      <c r="AP22" s="7"/>
      <c r="AQ22" s="7"/>
      <c r="AR22" s="7"/>
      <c r="AU22" s="28"/>
    </row>
    <row r="23" spans="1:47" ht="15.75" customHeight="1" x14ac:dyDescent="0.4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U23" s="28"/>
    </row>
    <row r="24" spans="1:47" ht="15.75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U24" s="28"/>
    </row>
    <row r="25" spans="1:47" ht="15.75" customHeight="1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U25" s="28"/>
    </row>
    <row r="26" spans="1:47" ht="15.75" customHeight="1" x14ac:dyDescent="0.45">
      <c r="AU26" s="28"/>
    </row>
    <row r="27" spans="1:47" ht="15.75" customHeight="1" x14ac:dyDescent="0.45">
      <c r="AU27" s="28"/>
    </row>
    <row r="28" spans="1:47" ht="15.75" customHeight="1" x14ac:dyDescent="0.4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4"/>
    </row>
    <row r="29" spans="1:47" ht="15.75" customHeight="1" x14ac:dyDescent="0.45"/>
    <row r="30" spans="1:47" ht="15.75" customHeight="1" x14ac:dyDescent="0.45"/>
    <row r="31" spans="1:47" ht="15.75" customHeight="1" x14ac:dyDescent="0.45"/>
    <row r="32" spans="1:47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31">
    <mergeCell ref="Z1:AU3"/>
    <mergeCell ref="A4:F4"/>
    <mergeCell ref="G4:O4"/>
    <mergeCell ref="B9:AT10"/>
    <mergeCell ref="P12:X12"/>
    <mergeCell ref="Y12:AG12"/>
    <mergeCell ref="A1:C3"/>
    <mergeCell ref="D1:J3"/>
    <mergeCell ref="K1:N3"/>
    <mergeCell ref="O1:U3"/>
    <mergeCell ref="V1:Y3"/>
    <mergeCell ref="P13:X13"/>
    <mergeCell ref="Y13:AG13"/>
    <mergeCell ref="Y14:AG14"/>
    <mergeCell ref="AB20:AH20"/>
    <mergeCell ref="AI20:AM20"/>
    <mergeCell ref="P14:X14"/>
    <mergeCell ref="M19:R19"/>
    <mergeCell ref="S19:AA19"/>
    <mergeCell ref="AB19:AH19"/>
    <mergeCell ref="AI19:AM19"/>
    <mergeCell ref="M20:R20"/>
    <mergeCell ref="S20:AA20"/>
    <mergeCell ref="M21:R21"/>
    <mergeCell ref="S21:AA21"/>
    <mergeCell ref="AB21:AH21"/>
    <mergeCell ref="AI21:AM21"/>
    <mergeCell ref="M22:R22"/>
    <mergeCell ref="S22:AA22"/>
    <mergeCell ref="AB22:AH22"/>
    <mergeCell ref="AI22:AM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00"/>
  <sheetViews>
    <sheetView showGridLines="0" workbookViewId="0">
      <selection activeCell="S20" sqref="S20:U20"/>
    </sheetView>
  </sheetViews>
  <sheetFormatPr defaultColWidth="14.3984375" defaultRowHeight="15.4" x14ac:dyDescent="0.45"/>
  <cols>
    <col min="1" max="17" width="2.86328125" style="8" customWidth="1"/>
    <col min="18" max="18" width="33.73046875" style="8" customWidth="1"/>
    <col min="19" max="46" width="2.86328125" style="8" customWidth="1"/>
    <col min="47" max="16384" width="14.3984375" style="8"/>
  </cols>
  <sheetData>
    <row r="1" spans="1:46" x14ac:dyDescent="0.45">
      <c r="A1" s="144" t="s">
        <v>0</v>
      </c>
      <c r="B1" s="133"/>
      <c r="C1" s="134"/>
      <c r="D1" s="132" t="str">
        <f>'01.Cover'!Y12</f>
        <v>TS_UPLOAD_SO</v>
      </c>
      <c r="E1" s="133"/>
      <c r="F1" s="133"/>
      <c r="G1" s="133"/>
      <c r="H1" s="133"/>
      <c r="I1" s="133"/>
      <c r="J1" s="134"/>
      <c r="K1" s="144" t="s">
        <v>1</v>
      </c>
      <c r="L1" s="133"/>
      <c r="M1" s="133"/>
      <c r="N1" s="133"/>
      <c r="O1" s="145" t="str">
        <f ca="1">MID(CELL("filename",A1),FIND("]",CELL("filename",A1))+1,255)</f>
        <v>02.Revision_History</v>
      </c>
      <c r="P1" s="133"/>
      <c r="Q1" s="133"/>
      <c r="R1" s="133"/>
      <c r="S1" s="133"/>
      <c r="T1" s="133"/>
      <c r="U1" s="134"/>
      <c r="V1" s="148" t="s">
        <v>2</v>
      </c>
      <c r="W1" s="133"/>
      <c r="X1" s="133"/>
      <c r="Y1" s="133"/>
      <c r="Z1" s="132" t="str">
        <f>'01.Cover'!B9</f>
        <v>Technical Specification</v>
      </c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4"/>
    </row>
    <row r="2" spans="1:46" x14ac:dyDescent="0.45">
      <c r="A2" s="135"/>
      <c r="B2" s="136"/>
      <c r="C2" s="137"/>
      <c r="D2" s="135"/>
      <c r="E2" s="136"/>
      <c r="F2" s="136"/>
      <c r="G2" s="136"/>
      <c r="H2" s="136"/>
      <c r="I2" s="136"/>
      <c r="J2" s="137"/>
      <c r="K2" s="135"/>
      <c r="L2" s="136"/>
      <c r="M2" s="136"/>
      <c r="N2" s="146"/>
      <c r="O2" s="135"/>
      <c r="P2" s="136"/>
      <c r="Q2" s="136"/>
      <c r="R2" s="136"/>
      <c r="S2" s="136"/>
      <c r="T2" s="136"/>
      <c r="U2" s="137"/>
      <c r="V2" s="146"/>
      <c r="W2" s="136"/>
      <c r="X2" s="136"/>
      <c r="Y2" s="146"/>
      <c r="Z2" s="135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7"/>
    </row>
    <row r="3" spans="1:46" x14ac:dyDescent="0.45">
      <c r="A3" s="138"/>
      <c r="B3" s="139"/>
      <c r="C3" s="140"/>
      <c r="D3" s="138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8"/>
      <c r="P3" s="139"/>
      <c r="Q3" s="139"/>
      <c r="R3" s="139"/>
      <c r="S3" s="139"/>
      <c r="T3" s="139"/>
      <c r="U3" s="140"/>
      <c r="V3" s="139"/>
      <c r="W3" s="139"/>
      <c r="X3" s="139"/>
      <c r="Y3" s="139"/>
      <c r="Z3" s="138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40"/>
    </row>
    <row r="4" spans="1:46" x14ac:dyDescent="0.45">
      <c r="A4" s="30"/>
      <c r="T4" s="42"/>
    </row>
    <row r="5" spans="1:46" x14ac:dyDescent="0.45">
      <c r="A5" s="30"/>
      <c r="B5" s="171" t="s">
        <v>14</v>
      </c>
      <c r="C5" s="134"/>
      <c r="D5" s="171" t="s">
        <v>10</v>
      </c>
      <c r="E5" s="133"/>
      <c r="F5" s="133"/>
      <c r="G5" s="133"/>
      <c r="H5" s="133"/>
      <c r="I5" s="134"/>
      <c r="J5" s="171" t="s">
        <v>8</v>
      </c>
      <c r="K5" s="133"/>
      <c r="L5" s="133"/>
      <c r="M5" s="133"/>
      <c r="N5" s="133"/>
      <c r="O5" s="133"/>
      <c r="P5" s="133"/>
      <c r="Q5" s="133"/>
      <c r="R5" s="134"/>
      <c r="S5" s="171" t="s">
        <v>9</v>
      </c>
      <c r="T5" s="133"/>
      <c r="U5" s="134"/>
      <c r="V5" s="171" t="s">
        <v>15</v>
      </c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4"/>
    </row>
    <row r="6" spans="1:46" x14ac:dyDescent="0.45">
      <c r="A6" s="30"/>
      <c r="B6" s="138"/>
      <c r="C6" s="140"/>
      <c r="D6" s="138"/>
      <c r="E6" s="139"/>
      <c r="F6" s="139"/>
      <c r="G6" s="139"/>
      <c r="H6" s="139"/>
      <c r="I6" s="140"/>
      <c r="J6" s="138"/>
      <c r="K6" s="139"/>
      <c r="L6" s="139"/>
      <c r="M6" s="139"/>
      <c r="N6" s="139"/>
      <c r="O6" s="139"/>
      <c r="P6" s="139"/>
      <c r="Q6" s="139"/>
      <c r="R6" s="140"/>
      <c r="S6" s="138"/>
      <c r="T6" s="139"/>
      <c r="U6" s="140"/>
      <c r="V6" s="138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40"/>
    </row>
    <row r="7" spans="1:46" x14ac:dyDescent="0.45">
      <c r="A7" s="30"/>
      <c r="B7" s="168">
        <v>1</v>
      </c>
      <c r="C7" s="143"/>
      <c r="D7" s="169" t="s">
        <v>118</v>
      </c>
      <c r="E7" s="142"/>
      <c r="F7" s="142"/>
      <c r="G7" s="142"/>
      <c r="H7" s="142"/>
      <c r="I7" s="143"/>
      <c r="J7" s="170" t="s">
        <v>119</v>
      </c>
      <c r="K7" s="142"/>
      <c r="L7" s="142"/>
      <c r="M7" s="142"/>
      <c r="N7" s="142"/>
      <c r="O7" s="142"/>
      <c r="P7" s="142"/>
      <c r="Q7" s="142"/>
      <c r="R7" s="143"/>
      <c r="S7" s="167"/>
      <c r="T7" s="142"/>
      <c r="U7" s="143"/>
      <c r="V7" s="43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5"/>
    </row>
    <row r="8" spans="1:46" x14ac:dyDescent="0.45">
      <c r="A8" s="30"/>
      <c r="B8" s="168"/>
      <c r="C8" s="143"/>
      <c r="D8" s="169"/>
      <c r="E8" s="142"/>
      <c r="F8" s="142"/>
      <c r="G8" s="142"/>
      <c r="H8" s="142"/>
      <c r="I8" s="143"/>
      <c r="J8" s="167"/>
      <c r="K8" s="142"/>
      <c r="L8" s="142"/>
      <c r="M8" s="142"/>
      <c r="N8" s="142"/>
      <c r="O8" s="142"/>
      <c r="P8" s="142"/>
      <c r="Q8" s="142"/>
      <c r="R8" s="143"/>
      <c r="S8" s="167"/>
      <c r="T8" s="142"/>
      <c r="U8" s="143"/>
      <c r="V8" s="46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5"/>
    </row>
    <row r="9" spans="1:46" x14ac:dyDescent="0.45">
      <c r="A9" s="30"/>
      <c r="B9" s="168"/>
      <c r="C9" s="143"/>
      <c r="D9" s="169"/>
      <c r="E9" s="142"/>
      <c r="F9" s="142"/>
      <c r="G9" s="142"/>
      <c r="H9" s="142"/>
      <c r="I9" s="143"/>
      <c r="J9" s="167"/>
      <c r="K9" s="142"/>
      <c r="L9" s="142"/>
      <c r="M9" s="142"/>
      <c r="N9" s="142"/>
      <c r="O9" s="142"/>
      <c r="P9" s="142"/>
      <c r="Q9" s="142"/>
      <c r="R9" s="143"/>
      <c r="S9" s="167"/>
      <c r="T9" s="142"/>
      <c r="U9" s="143"/>
      <c r="V9" s="46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5"/>
    </row>
    <row r="10" spans="1:46" x14ac:dyDescent="0.45">
      <c r="A10" s="30"/>
      <c r="B10" s="168"/>
      <c r="C10" s="143"/>
      <c r="D10" s="169"/>
      <c r="E10" s="142"/>
      <c r="F10" s="142"/>
      <c r="G10" s="142"/>
      <c r="H10" s="142"/>
      <c r="I10" s="143"/>
      <c r="J10" s="167"/>
      <c r="K10" s="142"/>
      <c r="L10" s="142"/>
      <c r="M10" s="142"/>
      <c r="N10" s="142"/>
      <c r="O10" s="142"/>
      <c r="P10" s="142"/>
      <c r="Q10" s="142"/>
      <c r="R10" s="143"/>
      <c r="S10" s="167"/>
      <c r="T10" s="142"/>
      <c r="U10" s="143"/>
      <c r="V10" s="46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</row>
    <row r="11" spans="1:46" x14ac:dyDescent="0.45">
      <c r="A11" s="30"/>
      <c r="B11" s="168"/>
      <c r="C11" s="143"/>
      <c r="D11" s="169"/>
      <c r="E11" s="142"/>
      <c r="F11" s="142"/>
      <c r="G11" s="142"/>
      <c r="H11" s="142"/>
      <c r="I11" s="143"/>
      <c r="J11" s="167"/>
      <c r="K11" s="142"/>
      <c r="L11" s="142"/>
      <c r="M11" s="142"/>
      <c r="N11" s="142"/>
      <c r="O11" s="142"/>
      <c r="P11" s="142"/>
      <c r="Q11" s="142"/>
      <c r="R11" s="143"/>
      <c r="S11" s="167"/>
      <c r="T11" s="142"/>
      <c r="U11" s="143"/>
      <c r="V11" s="46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5"/>
    </row>
    <row r="12" spans="1:46" x14ac:dyDescent="0.45">
      <c r="A12" s="30"/>
      <c r="B12" s="168"/>
      <c r="C12" s="143"/>
      <c r="D12" s="169"/>
      <c r="E12" s="142"/>
      <c r="F12" s="142"/>
      <c r="G12" s="142"/>
      <c r="H12" s="142"/>
      <c r="I12" s="143"/>
      <c r="J12" s="167"/>
      <c r="K12" s="142"/>
      <c r="L12" s="142"/>
      <c r="M12" s="142"/>
      <c r="N12" s="142"/>
      <c r="O12" s="142"/>
      <c r="P12" s="142"/>
      <c r="Q12" s="142"/>
      <c r="R12" s="143"/>
      <c r="S12" s="167"/>
      <c r="T12" s="142"/>
      <c r="U12" s="143"/>
      <c r="V12" s="46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5"/>
    </row>
    <row r="13" spans="1:46" x14ac:dyDescent="0.45">
      <c r="A13" s="30"/>
      <c r="B13" s="168"/>
      <c r="C13" s="143"/>
      <c r="D13" s="169"/>
      <c r="E13" s="142"/>
      <c r="F13" s="142"/>
      <c r="G13" s="142"/>
      <c r="H13" s="142"/>
      <c r="I13" s="143"/>
      <c r="J13" s="167"/>
      <c r="K13" s="142"/>
      <c r="L13" s="142"/>
      <c r="M13" s="142"/>
      <c r="N13" s="142"/>
      <c r="O13" s="142"/>
      <c r="P13" s="142"/>
      <c r="Q13" s="142"/>
      <c r="R13" s="143"/>
      <c r="S13" s="167"/>
      <c r="T13" s="142"/>
      <c r="U13" s="143"/>
      <c r="V13" s="46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5"/>
    </row>
    <row r="14" spans="1:46" x14ac:dyDescent="0.45">
      <c r="A14" s="30"/>
      <c r="B14" s="168"/>
      <c r="C14" s="143"/>
      <c r="D14" s="169"/>
      <c r="E14" s="142"/>
      <c r="F14" s="142"/>
      <c r="G14" s="142"/>
      <c r="H14" s="142"/>
      <c r="I14" s="143"/>
      <c r="J14" s="167"/>
      <c r="K14" s="142"/>
      <c r="L14" s="142"/>
      <c r="M14" s="142"/>
      <c r="N14" s="142"/>
      <c r="O14" s="142"/>
      <c r="P14" s="142"/>
      <c r="Q14" s="142"/>
      <c r="R14" s="143"/>
      <c r="S14" s="167"/>
      <c r="T14" s="142"/>
      <c r="U14" s="143"/>
      <c r="V14" s="46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5"/>
    </row>
    <row r="15" spans="1:46" x14ac:dyDescent="0.45">
      <c r="A15" s="30"/>
      <c r="B15" s="168"/>
      <c r="C15" s="143"/>
      <c r="D15" s="169"/>
      <c r="E15" s="142"/>
      <c r="F15" s="142"/>
      <c r="G15" s="142"/>
      <c r="H15" s="142"/>
      <c r="I15" s="143"/>
      <c r="J15" s="167"/>
      <c r="K15" s="142"/>
      <c r="L15" s="142"/>
      <c r="M15" s="142"/>
      <c r="N15" s="142"/>
      <c r="O15" s="142"/>
      <c r="P15" s="142"/>
      <c r="Q15" s="142"/>
      <c r="R15" s="143"/>
      <c r="S15" s="167"/>
      <c r="T15" s="142"/>
      <c r="U15" s="143"/>
      <c r="V15" s="46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5"/>
    </row>
    <row r="16" spans="1:46" x14ac:dyDescent="0.45">
      <c r="A16" s="30"/>
      <c r="B16" s="168"/>
      <c r="C16" s="143"/>
      <c r="D16" s="169"/>
      <c r="E16" s="142"/>
      <c r="F16" s="142"/>
      <c r="G16" s="142"/>
      <c r="H16" s="142"/>
      <c r="I16" s="143"/>
      <c r="J16" s="167"/>
      <c r="K16" s="142"/>
      <c r="L16" s="142"/>
      <c r="M16" s="142"/>
      <c r="N16" s="142"/>
      <c r="O16" s="142"/>
      <c r="P16" s="142"/>
      <c r="Q16" s="142"/>
      <c r="R16" s="143"/>
      <c r="S16" s="167"/>
      <c r="T16" s="142"/>
      <c r="U16" s="143"/>
      <c r="V16" s="46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5"/>
    </row>
    <row r="17" spans="1:46" x14ac:dyDescent="0.45">
      <c r="A17" s="7"/>
      <c r="B17" s="165"/>
      <c r="C17" s="136"/>
      <c r="D17" s="166"/>
      <c r="E17" s="136"/>
      <c r="F17" s="136"/>
      <c r="G17" s="136"/>
      <c r="H17" s="136"/>
      <c r="I17" s="136"/>
      <c r="J17" s="164"/>
      <c r="K17" s="136"/>
      <c r="L17" s="136"/>
      <c r="M17" s="136"/>
      <c r="N17" s="136"/>
      <c r="O17" s="136"/>
      <c r="P17" s="136"/>
      <c r="Q17" s="136"/>
      <c r="R17" s="136"/>
      <c r="S17" s="164"/>
      <c r="T17" s="136"/>
      <c r="U17" s="136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1:46" x14ac:dyDescent="0.45">
      <c r="A18" s="7"/>
      <c r="B18" s="165"/>
      <c r="C18" s="136"/>
      <c r="D18" s="166"/>
      <c r="E18" s="136"/>
      <c r="F18" s="136"/>
      <c r="G18" s="136"/>
      <c r="H18" s="136"/>
      <c r="I18" s="136"/>
      <c r="J18" s="164"/>
      <c r="K18" s="136"/>
      <c r="L18" s="136"/>
      <c r="M18" s="136"/>
      <c r="N18" s="136"/>
      <c r="O18" s="136"/>
      <c r="P18" s="136"/>
      <c r="Q18" s="136"/>
      <c r="R18" s="136"/>
      <c r="S18" s="164"/>
      <c r="T18" s="136"/>
      <c r="U18" s="136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 x14ac:dyDescent="0.45">
      <c r="A19" s="7"/>
      <c r="B19" s="165"/>
      <c r="C19" s="136"/>
      <c r="D19" s="166"/>
      <c r="E19" s="136"/>
      <c r="F19" s="136"/>
      <c r="G19" s="136"/>
      <c r="H19" s="136"/>
      <c r="I19" s="136"/>
      <c r="J19" s="164"/>
      <c r="K19" s="136"/>
      <c r="L19" s="136"/>
      <c r="M19" s="136"/>
      <c r="N19" s="136"/>
      <c r="O19" s="136"/>
      <c r="P19" s="136"/>
      <c r="Q19" s="136"/>
      <c r="R19" s="136"/>
      <c r="S19" s="164"/>
      <c r="T19" s="136"/>
      <c r="U19" s="136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1:46" x14ac:dyDescent="0.45">
      <c r="B20" s="165"/>
      <c r="C20" s="136"/>
      <c r="D20" s="166"/>
      <c r="E20" s="136"/>
      <c r="F20" s="136"/>
      <c r="G20" s="136"/>
      <c r="H20" s="136"/>
      <c r="I20" s="136"/>
      <c r="J20" s="164"/>
      <c r="K20" s="136"/>
      <c r="L20" s="136"/>
      <c r="M20" s="136"/>
      <c r="N20" s="136"/>
      <c r="O20" s="136"/>
      <c r="P20" s="136"/>
      <c r="Q20" s="136"/>
      <c r="R20" s="136"/>
      <c r="S20" s="164"/>
      <c r="T20" s="136"/>
      <c r="U20" s="136"/>
    </row>
    <row r="21" spans="1:46" ht="15.75" customHeight="1" x14ac:dyDescent="0.45">
      <c r="B21" s="165"/>
      <c r="C21" s="136"/>
      <c r="D21" s="166"/>
      <c r="E21" s="136"/>
      <c r="F21" s="136"/>
      <c r="G21" s="136"/>
      <c r="H21" s="136"/>
      <c r="I21" s="136"/>
      <c r="J21" s="164"/>
      <c r="K21" s="136"/>
      <c r="L21" s="136"/>
      <c r="M21" s="136"/>
      <c r="N21" s="136"/>
      <c r="O21" s="136"/>
      <c r="P21" s="136"/>
      <c r="Q21" s="136"/>
      <c r="R21" s="136"/>
      <c r="S21" s="164"/>
      <c r="T21" s="136"/>
      <c r="U21" s="136"/>
    </row>
    <row r="22" spans="1:46" ht="15.75" customHeight="1" x14ac:dyDescent="0.45">
      <c r="B22" s="165"/>
      <c r="C22" s="136"/>
      <c r="D22" s="166"/>
      <c r="E22" s="136"/>
      <c r="F22" s="136"/>
      <c r="G22" s="136"/>
      <c r="H22" s="136"/>
      <c r="I22" s="136"/>
      <c r="J22" s="164"/>
      <c r="K22" s="136"/>
      <c r="L22" s="136"/>
      <c r="M22" s="136"/>
      <c r="N22" s="136"/>
      <c r="O22" s="136"/>
      <c r="P22" s="136"/>
      <c r="Q22" s="136"/>
      <c r="R22" s="136"/>
      <c r="S22" s="164"/>
      <c r="T22" s="136"/>
      <c r="U22" s="136"/>
    </row>
    <row r="23" spans="1:46" ht="15.75" customHeight="1" x14ac:dyDescent="0.45">
      <c r="B23" s="165"/>
      <c r="C23" s="136"/>
      <c r="D23" s="166"/>
      <c r="E23" s="136"/>
      <c r="F23" s="136"/>
      <c r="G23" s="136"/>
      <c r="H23" s="136"/>
      <c r="I23" s="136"/>
      <c r="J23" s="164"/>
      <c r="K23" s="136"/>
      <c r="L23" s="136"/>
      <c r="M23" s="136"/>
      <c r="N23" s="136"/>
      <c r="O23" s="136"/>
      <c r="P23" s="136"/>
      <c r="Q23" s="136"/>
      <c r="R23" s="136"/>
      <c r="S23" s="164"/>
      <c r="T23" s="136"/>
      <c r="U23" s="136"/>
    </row>
    <row r="24" spans="1:46" ht="15.75" customHeight="1" x14ac:dyDescent="0.45">
      <c r="B24" s="165"/>
      <c r="C24" s="136"/>
      <c r="D24" s="166"/>
      <c r="E24" s="136"/>
      <c r="F24" s="136"/>
      <c r="G24" s="136"/>
      <c r="H24" s="136"/>
      <c r="I24" s="136"/>
      <c r="J24" s="164"/>
      <c r="K24" s="136"/>
      <c r="L24" s="136"/>
      <c r="M24" s="136"/>
      <c r="N24" s="136"/>
      <c r="O24" s="136"/>
      <c r="P24" s="136"/>
      <c r="Q24" s="136"/>
      <c r="R24" s="136"/>
      <c r="S24" s="164"/>
      <c r="T24" s="136"/>
      <c r="U24" s="136"/>
    </row>
    <row r="25" spans="1:46" ht="15.75" customHeight="1" x14ac:dyDescent="0.45">
      <c r="B25" s="165"/>
      <c r="C25" s="136"/>
      <c r="D25" s="166"/>
      <c r="E25" s="136"/>
      <c r="F25" s="136"/>
      <c r="G25" s="136"/>
      <c r="H25" s="136"/>
      <c r="I25" s="136"/>
      <c r="J25" s="164"/>
      <c r="K25" s="136"/>
      <c r="L25" s="136"/>
      <c r="M25" s="136"/>
      <c r="N25" s="136"/>
      <c r="O25" s="136"/>
      <c r="P25" s="136"/>
      <c r="Q25" s="136"/>
      <c r="R25" s="136"/>
      <c r="S25" s="164"/>
      <c r="T25" s="136"/>
      <c r="U25" s="136"/>
    </row>
    <row r="26" spans="1:46" ht="15.75" customHeight="1" x14ac:dyDescent="0.45">
      <c r="B26" s="165"/>
      <c r="C26" s="136"/>
      <c r="D26" s="166"/>
      <c r="E26" s="136"/>
      <c r="F26" s="136"/>
      <c r="G26" s="136"/>
      <c r="H26" s="136"/>
      <c r="I26" s="136"/>
      <c r="J26" s="164"/>
      <c r="K26" s="136"/>
      <c r="L26" s="136"/>
      <c r="M26" s="136"/>
      <c r="N26" s="136"/>
      <c r="O26" s="136"/>
      <c r="P26" s="136"/>
      <c r="Q26" s="136"/>
      <c r="R26" s="136"/>
      <c r="S26" s="164"/>
      <c r="T26" s="136"/>
      <c r="U26" s="136"/>
    </row>
    <row r="27" spans="1:46" ht="15.75" customHeight="1" x14ac:dyDescent="0.45">
      <c r="B27" s="165"/>
      <c r="C27" s="136"/>
      <c r="D27" s="166"/>
      <c r="E27" s="136"/>
      <c r="F27" s="136"/>
      <c r="G27" s="136"/>
      <c r="H27" s="136"/>
      <c r="I27" s="136"/>
      <c r="J27" s="164"/>
      <c r="K27" s="136"/>
      <c r="L27" s="136"/>
      <c r="M27" s="136"/>
      <c r="N27" s="136"/>
      <c r="O27" s="136"/>
      <c r="P27" s="136"/>
      <c r="Q27" s="136"/>
      <c r="R27" s="136"/>
      <c r="S27" s="164"/>
      <c r="T27" s="136"/>
      <c r="U27" s="136"/>
    </row>
    <row r="28" spans="1:46" ht="15.75" customHeight="1" x14ac:dyDescent="0.45">
      <c r="B28" s="165"/>
      <c r="C28" s="136"/>
      <c r="D28" s="166"/>
      <c r="E28" s="136"/>
      <c r="F28" s="136"/>
      <c r="G28" s="136"/>
      <c r="H28" s="136"/>
      <c r="I28" s="136"/>
      <c r="J28" s="164"/>
      <c r="K28" s="136"/>
      <c r="L28" s="136"/>
      <c r="M28" s="136"/>
      <c r="N28" s="136"/>
      <c r="O28" s="136"/>
      <c r="P28" s="136"/>
      <c r="Q28" s="136"/>
      <c r="R28" s="136"/>
      <c r="S28" s="164"/>
      <c r="T28" s="136"/>
      <c r="U28" s="136"/>
    </row>
    <row r="29" spans="1:46" ht="15.75" customHeight="1" x14ac:dyDescent="0.45">
      <c r="B29" s="165"/>
      <c r="C29" s="136"/>
      <c r="D29" s="166"/>
      <c r="E29" s="136"/>
      <c r="F29" s="136"/>
      <c r="G29" s="136"/>
      <c r="H29" s="136"/>
      <c r="I29" s="136"/>
      <c r="J29" s="164"/>
      <c r="K29" s="136"/>
      <c r="L29" s="136"/>
      <c r="M29" s="136"/>
      <c r="N29" s="136"/>
      <c r="O29" s="136"/>
      <c r="P29" s="136"/>
      <c r="Q29" s="136"/>
      <c r="R29" s="136"/>
      <c r="S29" s="164"/>
      <c r="T29" s="136"/>
      <c r="U29" s="136"/>
    </row>
    <row r="30" spans="1:46" ht="15.75" customHeight="1" x14ac:dyDescent="0.45">
      <c r="B30" s="165"/>
      <c r="C30" s="136"/>
      <c r="D30" s="166"/>
      <c r="E30" s="136"/>
      <c r="F30" s="136"/>
      <c r="G30" s="136"/>
      <c r="H30" s="136"/>
      <c r="I30" s="136"/>
      <c r="J30" s="164"/>
      <c r="K30" s="136"/>
      <c r="L30" s="136"/>
      <c r="M30" s="136"/>
      <c r="N30" s="136"/>
      <c r="O30" s="136"/>
      <c r="P30" s="136"/>
      <c r="Q30" s="136"/>
      <c r="R30" s="136"/>
      <c r="S30" s="164"/>
      <c r="T30" s="136"/>
      <c r="U30" s="136"/>
    </row>
    <row r="31" spans="1:46" ht="15.75" customHeight="1" x14ac:dyDescent="0.45">
      <c r="B31" s="165"/>
      <c r="C31" s="136"/>
      <c r="D31" s="166"/>
      <c r="E31" s="136"/>
      <c r="F31" s="136"/>
      <c r="G31" s="136"/>
      <c r="H31" s="136"/>
      <c r="I31" s="136"/>
      <c r="J31" s="164"/>
      <c r="K31" s="136"/>
      <c r="L31" s="136"/>
      <c r="M31" s="136"/>
      <c r="N31" s="136"/>
      <c r="O31" s="136"/>
      <c r="P31" s="136"/>
      <c r="Q31" s="136"/>
      <c r="R31" s="136"/>
      <c r="S31" s="164"/>
      <c r="T31" s="136"/>
      <c r="U31" s="136"/>
    </row>
    <row r="32" spans="1:46" ht="15.75" customHeight="1" x14ac:dyDescent="0.45">
      <c r="B32" s="165"/>
      <c r="C32" s="136"/>
      <c r="D32" s="166"/>
      <c r="E32" s="136"/>
      <c r="F32" s="136"/>
      <c r="G32" s="136"/>
      <c r="H32" s="136"/>
      <c r="I32" s="136"/>
      <c r="J32" s="164"/>
      <c r="K32" s="136"/>
      <c r="L32" s="136"/>
      <c r="M32" s="136"/>
      <c r="N32" s="136"/>
      <c r="O32" s="136"/>
      <c r="P32" s="136"/>
      <c r="Q32" s="136"/>
      <c r="R32" s="136"/>
      <c r="S32" s="164"/>
      <c r="T32" s="136"/>
      <c r="U32" s="136"/>
    </row>
    <row r="33" spans="2:21" ht="15.75" customHeight="1" x14ac:dyDescent="0.45">
      <c r="B33" s="165"/>
      <c r="C33" s="136"/>
      <c r="D33" s="166"/>
      <c r="E33" s="136"/>
      <c r="F33" s="136"/>
      <c r="G33" s="136"/>
      <c r="H33" s="136"/>
      <c r="I33" s="136"/>
      <c r="J33" s="164"/>
      <c r="K33" s="136"/>
      <c r="L33" s="136"/>
      <c r="M33" s="136"/>
      <c r="N33" s="136"/>
      <c r="O33" s="136"/>
      <c r="P33" s="136"/>
      <c r="Q33" s="136"/>
      <c r="R33" s="136"/>
      <c r="S33" s="164"/>
      <c r="T33" s="136"/>
      <c r="U33" s="136"/>
    </row>
    <row r="34" spans="2:21" ht="15.75" customHeight="1" x14ac:dyDescent="0.45">
      <c r="B34" s="165"/>
      <c r="C34" s="136"/>
      <c r="D34" s="166"/>
      <c r="E34" s="136"/>
      <c r="F34" s="136"/>
      <c r="G34" s="136"/>
      <c r="H34" s="136"/>
      <c r="I34" s="136"/>
      <c r="J34" s="164"/>
      <c r="K34" s="136"/>
      <c r="L34" s="136"/>
      <c r="M34" s="136"/>
      <c r="N34" s="136"/>
      <c r="O34" s="136"/>
      <c r="P34" s="136"/>
      <c r="Q34" s="136"/>
      <c r="R34" s="136"/>
      <c r="S34" s="164"/>
      <c r="T34" s="136"/>
      <c r="U34" s="136"/>
    </row>
    <row r="35" spans="2:21" ht="15.75" customHeight="1" x14ac:dyDescent="0.45">
      <c r="B35" s="165"/>
      <c r="C35" s="136"/>
      <c r="D35" s="166"/>
      <c r="E35" s="136"/>
      <c r="F35" s="136"/>
      <c r="G35" s="136"/>
      <c r="H35" s="136"/>
      <c r="I35" s="136"/>
      <c r="J35" s="164"/>
      <c r="K35" s="136"/>
      <c r="L35" s="136"/>
      <c r="M35" s="136"/>
      <c r="N35" s="136"/>
      <c r="O35" s="136"/>
      <c r="P35" s="136"/>
      <c r="Q35" s="136"/>
      <c r="R35" s="136"/>
      <c r="S35" s="164"/>
      <c r="T35" s="136"/>
      <c r="U35" s="136"/>
    </row>
    <row r="36" spans="2:21" ht="15.75" customHeight="1" x14ac:dyDescent="0.45">
      <c r="B36" s="165"/>
      <c r="C36" s="136"/>
      <c r="D36" s="166"/>
      <c r="E36" s="136"/>
      <c r="F36" s="136"/>
      <c r="G36" s="136"/>
      <c r="H36" s="136"/>
      <c r="I36" s="136"/>
      <c r="J36" s="164"/>
      <c r="K36" s="136"/>
      <c r="L36" s="136"/>
      <c r="M36" s="136"/>
      <c r="N36" s="136"/>
      <c r="O36" s="136"/>
      <c r="P36" s="136"/>
      <c r="Q36" s="136"/>
      <c r="R36" s="136"/>
      <c r="S36" s="164"/>
      <c r="T36" s="136"/>
      <c r="U36" s="136"/>
    </row>
    <row r="37" spans="2:21" ht="15.75" customHeight="1" x14ac:dyDescent="0.45">
      <c r="B37" s="165"/>
      <c r="C37" s="136"/>
      <c r="D37" s="166"/>
      <c r="E37" s="136"/>
      <c r="F37" s="136"/>
      <c r="G37" s="136"/>
      <c r="H37" s="136"/>
      <c r="I37" s="136"/>
      <c r="J37" s="164"/>
      <c r="K37" s="136"/>
      <c r="L37" s="136"/>
      <c r="M37" s="136"/>
      <c r="N37" s="136"/>
      <c r="O37" s="136"/>
      <c r="P37" s="136"/>
      <c r="Q37" s="136"/>
      <c r="R37" s="136"/>
      <c r="S37" s="164"/>
      <c r="T37" s="136"/>
      <c r="U37" s="136"/>
    </row>
    <row r="38" spans="2:21" ht="15.75" customHeight="1" x14ac:dyDescent="0.45"/>
    <row r="39" spans="2:21" ht="15.75" customHeight="1" x14ac:dyDescent="0.45"/>
    <row r="40" spans="2:21" ht="15.75" customHeight="1" x14ac:dyDescent="0.45"/>
    <row r="41" spans="2:21" ht="15.75" customHeight="1" x14ac:dyDescent="0.45"/>
    <row r="42" spans="2:21" ht="15.75" customHeight="1" x14ac:dyDescent="0.45"/>
    <row r="43" spans="2:21" ht="15.75" customHeight="1" x14ac:dyDescent="0.45"/>
    <row r="44" spans="2:21" ht="15.75" customHeight="1" x14ac:dyDescent="0.45"/>
    <row r="45" spans="2:21" ht="15.75" customHeight="1" x14ac:dyDescent="0.45"/>
    <row r="46" spans="2:21" ht="15.75" customHeight="1" x14ac:dyDescent="0.45"/>
    <row r="47" spans="2:21" ht="15.75" customHeight="1" x14ac:dyDescent="0.45"/>
    <row r="48" spans="2:21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35">
    <mergeCell ref="V5:AT6"/>
    <mergeCell ref="A1:C3"/>
    <mergeCell ref="D1:J3"/>
    <mergeCell ref="K1:N3"/>
    <mergeCell ref="O1:U3"/>
    <mergeCell ref="V1:Y3"/>
    <mergeCell ref="Z1:AT3"/>
    <mergeCell ref="B5:C6"/>
    <mergeCell ref="D5:I6"/>
    <mergeCell ref="J5:R6"/>
    <mergeCell ref="B10:C10"/>
    <mergeCell ref="S10:U10"/>
    <mergeCell ref="D10:I10"/>
    <mergeCell ref="J10:R10"/>
    <mergeCell ref="B11:C11"/>
    <mergeCell ref="D11:I11"/>
    <mergeCell ref="J11:R11"/>
    <mergeCell ref="S11:U11"/>
    <mergeCell ref="S5:U6"/>
    <mergeCell ref="B7:C7"/>
    <mergeCell ref="D7:I7"/>
    <mergeCell ref="J7:R7"/>
    <mergeCell ref="S7:U7"/>
    <mergeCell ref="B8:C8"/>
    <mergeCell ref="S8:U8"/>
    <mergeCell ref="D8:I8"/>
    <mergeCell ref="J8:R8"/>
    <mergeCell ref="B9:C9"/>
    <mergeCell ref="D9:I9"/>
    <mergeCell ref="J9:R9"/>
    <mergeCell ref="S9:U9"/>
    <mergeCell ref="J19:R19"/>
    <mergeCell ref="B20:C20"/>
    <mergeCell ref="D20:I20"/>
    <mergeCell ref="B21:C21"/>
    <mergeCell ref="D21:I21"/>
    <mergeCell ref="J21:R21"/>
    <mergeCell ref="B12:C12"/>
    <mergeCell ref="S12:U12"/>
    <mergeCell ref="D12:I12"/>
    <mergeCell ref="J12:R12"/>
    <mergeCell ref="B13:C13"/>
    <mergeCell ref="D13:I13"/>
    <mergeCell ref="J13:R13"/>
    <mergeCell ref="S13:U13"/>
    <mergeCell ref="B14:C14"/>
    <mergeCell ref="S14:U14"/>
    <mergeCell ref="J31:R31"/>
    <mergeCell ref="S31:U31"/>
    <mergeCell ref="J23:R23"/>
    <mergeCell ref="S23:U23"/>
    <mergeCell ref="B24:C24"/>
    <mergeCell ref="D24:I24"/>
    <mergeCell ref="B25:C25"/>
    <mergeCell ref="D25:I25"/>
    <mergeCell ref="J25:R25"/>
    <mergeCell ref="S25:U25"/>
    <mergeCell ref="J24:R24"/>
    <mergeCell ref="S24:U24"/>
    <mergeCell ref="J29:R29"/>
    <mergeCell ref="S29:U29"/>
    <mergeCell ref="D30:I30"/>
    <mergeCell ref="J30:R30"/>
    <mergeCell ref="S30:U30"/>
    <mergeCell ref="B18:C18"/>
    <mergeCell ref="J33:R33"/>
    <mergeCell ref="S33:U33"/>
    <mergeCell ref="B34:C34"/>
    <mergeCell ref="S34:U34"/>
    <mergeCell ref="D34:I34"/>
    <mergeCell ref="J34:R34"/>
    <mergeCell ref="D28:I28"/>
    <mergeCell ref="B23:C23"/>
    <mergeCell ref="D23:I23"/>
    <mergeCell ref="B33:C33"/>
    <mergeCell ref="D33:I33"/>
    <mergeCell ref="B29:C29"/>
    <mergeCell ref="D29:I29"/>
    <mergeCell ref="B30:C30"/>
    <mergeCell ref="B31:C31"/>
    <mergeCell ref="D31:I31"/>
    <mergeCell ref="B32:C32"/>
    <mergeCell ref="D32:I32"/>
    <mergeCell ref="J32:R32"/>
    <mergeCell ref="S32:U32"/>
    <mergeCell ref="D26:I26"/>
    <mergeCell ref="J26:R26"/>
    <mergeCell ref="S26:U26"/>
    <mergeCell ref="J28:R28"/>
    <mergeCell ref="S28:U28"/>
    <mergeCell ref="B26:C26"/>
    <mergeCell ref="B27:C27"/>
    <mergeCell ref="D27:I27"/>
    <mergeCell ref="J27:R27"/>
    <mergeCell ref="S27:U27"/>
    <mergeCell ref="B28:C28"/>
    <mergeCell ref="J17:R17"/>
    <mergeCell ref="S17:U17"/>
    <mergeCell ref="S18:U18"/>
    <mergeCell ref="J20:R20"/>
    <mergeCell ref="S20:U20"/>
    <mergeCell ref="S19:U19"/>
    <mergeCell ref="S21:U21"/>
    <mergeCell ref="D22:I22"/>
    <mergeCell ref="J22:R22"/>
    <mergeCell ref="S22:U22"/>
    <mergeCell ref="B17:C17"/>
    <mergeCell ref="D17:I17"/>
    <mergeCell ref="D18:I18"/>
    <mergeCell ref="J18:R18"/>
    <mergeCell ref="B22:C22"/>
    <mergeCell ref="B19:C19"/>
    <mergeCell ref="D19:I19"/>
    <mergeCell ref="S15:U15"/>
    <mergeCell ref="B16:C16"/>
    <mergeCell ref="S16:U16"/>
    <mergeCell ref="D16:I16"/>
    <mergeCell ref="J16:R16"/>
    <mergeCell ref="D14:I14"/>
    <mergeCell ref="J14:R14"/>
    <mergeCell ref="B15:C15"/>
    <mergeCell ref="D15:I15"/>
    <mergeCell ref="J15:R15"/>
    <mergeCell ref="S37:U37"/>
    <mergeCell ref="B35:C35"/>
    <mergeCell ref="D35:I35"/>
    <mergeCell ref="J35:R35"/>
    <mergeCell ref="S35:U35"/>
    <mergeCell ref="B36:C36"/>
    <mergeCell ref="S36:U36"/>
    <mergeCell ref="D36:I36"/>
    <mergeCell ref="J36:R36"/>
    <mergeCell ref="B37:C37"/>
    <mergeCell ref="D37:I37"/>
    <mergeCell ref="J37:R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U1000"/>
  <sheetViews>
    <sheetView showGridLines="0" workbookViewId="0">
      <selection activeCell="U25" sqref="U25"/>
    </sheetView>
  </sheetViews>
  <sheetFormatPr defaultColWidth="14.3984375" defaultRowHeight="15.4" x14ac:dyDescent="0.45"/>
  <cols>
    <col min="1" max="9" width="2.86328125" style="8" customWidth="1"/>
    <col min="10" max="10" width="5.9296875" style="8" customWidth="1"/>
    <col min="11" max="20" width="2.86328125" style="8" customWidth="1"/>
    <col min="21" max="21" width="19.265625" style="8" customWidth="1"/>
    <col min="22" max="47" width="2.86328125" style="8" customWidth="1"/>
    <col min="48" max="16384" width="14.3984375" style="8"/>
  </cols>
  <sheetData>
    <row r="1" spans="1:47" x14ac:dyDescent="0.45">
      <c r="A1" s="144" t="s">
        <v>0</v>
      </c>
      <c r="B1" s="133"/>
      <c r="C1" s="134"/>
      <c r="D1" s="132" t="str">
        <f>'01.Cover'!Y12</f>
        <v>TS_UPLOAD_SO</v>
      </c>
      <c r="E1" s="133"/>
      <c r="F1" s="133"/>
      <c r="G1" s="133"/>
      <c r="H1" s="133"/>
      <c r="I1" s="133"/>
      <c r="J1" s="134"/>
      <c r="K1" s="144" t="s">
        <v>1</v>
      </c>
      <c r="L1" s="133"/>
      <c r="M1" s="133"/>
      <c r="N1" s="133"/>
      <c r="O1" s="147" t="str">
        <f ca="1">MID(CELL("filename",A1),FIND("]",CELL("filename",A1))+1,255)</f>
        <v>TS.Content</v>
      </c>
      <c r="P1" s="133"/>
      <c r="Q1" s="133"/>
      <c r="R1" s="133"/>
      <c r="S1" s="133"/>
      <c r="T1" s="133"/>
      <c r="U1" s="134"/>
      <c r="V1" s="148" t="s">
        <v>2</v>
      </c>
      <c r="W1" s="133"/>
      <c r="X1" s="133"/>
      <c r="Y1" s="133"/>
      <c r="Z1" s="132" t="str">
        <f>'01.Cover'!B9</f>
        <v>Technical Specification</v>
      </c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4"/>
    </row>
    <row r="2" spans="1:47" x14ac:dyDescent="0.45">
      <c r="A2" s="135"/>
      <c r="B2" s="136"/>
      <c r="C2" s="137"/>
      <c r="D2" s="135"/>
      <c r="E2" s="136"/>
      <c r="F2" s="136"/>
      <c r="G2" s="136"/>
      <c r="H2" s="136"/>
      <c r="I2" s="136"/>
      <c r="J2" s="137"/>
      <c r="K2" s="135"/>
      <c r="L2" s="136"/>
      <c r="M2" s="136"/>
      <c r="N2" s="146"/>
      <c r="O2" s="138"/>
      <c r="P2" s="139"/>
      <c r="Q2" s="139"/>
      <c r="R2" s="139"/>
      <c r="S2" s="139"/>
      <c r="T2" s="139"/>
      <c r="U2" s="140"/>
      <c r="V2" s="146"/>
      <c r="W2" s="136"/>
      <c r="X2" s="136"/>
      <c r="Y2" s="146"/>
      <c r="Z2" s="135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</row>
    <row r="3" spans="1:47" x14ac:dyDescent="0.45">
      <c r="A3" s="138"/>
      <c r="B3" s="139"/>
      <c r="C3" s="140"/>
      <c r="D3" s="138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72" t="s">
        <v>143</v>
      </c>
      <c r="P3" s="142"/>
      <c r="Q3" s="142"/>
      <c r="R3" s="142"/>
      <c r="S3" s="142"/>
      <c r="T3" s="142"/>
      <c r="U3" s="143"/>
      <c r="V3" s="139"/>
      <c r="W3" s="139"/>
      <c r="X3" s="139"/>
      <c r="Y3" s="139"/>
      <c r="Z3" s="138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40"/>
    </row>
    <row r="4" spans="1:47" x14ac:dyDescent="0.45">
      <c r="A4" s="20"/>
      <c r="B4" s="20"/>
      <c r="C4" s="20"/>
    </row>
    <row r="5" spans="1:47" x14ac:dyDescent="0.45">
      <c r="B5" s="36" t="s">
        <v>16</v>
      </c>
      <c r="C5" s="37"/>
      <c r="D5" s="37"/>
      <c r="E5" s="38"/>
      <c r="F5" s="36" t="s">
        <v>17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8"/>
      <c r="AA5" s="36" t="s">
        <v>18</v>
      </c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8"/>
    </row>
    <row r="6" spans="1:47" x14ac:dyDescent="0.45">
      <c r="B6" s="29" t="s">
        <v>19</v>
      </c>
      <c r="E6" s="28"/>
      <c r="F6" s="39" t="s">
        <v>20</v>
      </c>
      <c r="Z6" s="28"/>
      <c r="AA6" s="30" t="s">
        <v>120</v>
      </c>
      <c r="AO6" s="28"/>
    </row>
    <row r="7" spans="1:47" x14ac:dyDescent="0.45">
      <c r="B7" s="29" t="s">
        <v>21</v>
      </c>
      <c r="E7" s="28"/>
      <c r="F7" s="21" t="s">
        <v>22</v>
      </c>
      <c r="Z7" s="28"/>
      <c r="AA7" s="30" t="s">
        <v>121</v>
      </c>
      <c r="AO7" s="28"/>
    </row>
    <row r="8" spans="1:47" x14ac:dyDescent="0.45">
      <c r="B8" s="29" t="s">
        <v>23</v>
      </c>
      <c r="F8" s="39" t="s">
        <v>24</v>
      </c>
      <c r="Z8" s="28"/>
      <c r="AA8" s="30" t="s">
        <v>122</v>
      </c>
      <c r="AO8" s="28"/>
    </row>
    <row r="9" spans="1:47" x14ac:dyDescent="0.45">
      <c r="B9" s="40" t="s">
        <v>25</v>
      </c>
      <c r="C9" s="33"/>
      <c r="D9" s="33"/>
      <c r="E9" s="33"/>
      <c r="F9" s="41" t="s">
        <v>26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4"/>
      <c r="AA9" s="33" t="s">
        <v>123</v>
      </c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4"/>
    </row>
    <row r="10" spans="1:47" x14ac:dyDescent="0.4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 spans="1:47" x14ac:dyDescent="0.4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spans="1:47" x14ac:dyDescent="0.4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">
    <mergeCell ref="Z1:AU3"/>
    <mergeCell ref="O3:U3"/>
    <mergeCell ref="A1:C3"/>
    <mergeCell ref="D1:J3"/>
    <mergeCell ref="K1:N3"/>
    <mergeCell ref="O1:U2"/>
    <mergeCell ref="V1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T1000"/>
  <sheetViews>
    <sheetView showGridLines="0" workbookViewId="0">
      <selection activeCell="H22" sqref="H22"/>
    </sheetView>
  </sheetViews>
  <sheetFormatPr defaultColWidth="14.3984375" defaultRowHeight="15.4" x14ac:dyDescent="0.45"/>
  <cols>
    <col min="1" max="9" width="2.86328125" style="8" customWidth="1"/>
    <col min="10" max="10" width="7.796875" style="8" customWidth="1"/>
    <col min="11" max="18" width="2.86328125" style="8" customWidth="1"/>
    <col min="19" max="19" width="16.1328125" style="8" customWidth="1"/>
    <col min="20" max="46" width="2.86328125" style="8" customWidth="1"/>
    <col min="47" max="16384" width="14.3984375" style="8"/>
  </cols>
  <sheetData>
    <row r="1" spans="1:46" x14ac:dyDescent="0.45">
      <c r="A1" s="144" t="s">
        <v>0</v>
      </c>
      <c r="B1" s="133"/>
      <c r="C1" s="134"/>
      <c r="D1" s="132" t="str">
        <f>'01.Cover'!Y12</f>
        <v>TS_UPLOAD_SO</v>
      </c>
      <c r="E1" s="133"/>
      <c r="F1" s="133"/>
      <c r="G1" s="133"/>
      <c r="H1" s="133"/>
      <c r="I1" s="133"/>
      <c r="J1" s="134"/>
      <c r="K1" s="144" t="s">
        <v>1</v>
      </c>
      <c r="L1" s="133"/>
      <c r="M1" s="133"/>
      <c r="N1" s="133"/>
      <c r="O1" s="147" t="str">
        <f ca="1">MID(CELL("filename",A1),FIND("]",CELL("filename",A1))+1,255)</f>
        <v>TS.Overview</v>
      </c>
      <c r="P1" s="133"/>
      <c r="Q1" s="133"/>
      <c r="R1" s="133"/>
      <c r="S1" s="133"/>
      <c r="T1" s="133"/>
      <c r="U1" s="134"/>
      <c r="V1" s="148" t="s">
        <v>2</v>
      </c>
      <c r="W1" s="133"/>
      <c r="X1" s="133"/>
      <c r="Y1" s="133"/>
      <c r="Z1" s="132" t="str">
        <f>'01.Cover'!B9</f>
        <v>Technical Specification</v>
      </c>
      <c r="AA1" s="133"/>
      <c r="AB1" s="133"/>
      <c r="AC1" s="133"/>
      <c r="AD1" s="133"/>
      <c r="AE1" s="133"/>
      <c r="AF1" s="133"/>
      <c r="AG1" s="133"/>
      <c r="AH1" s="133"/>
      <c r="AI1" s="133"/>
      <c r="AJ1" s="134"/>
      <c r="AK1" s="132"/>
      <c r="AL1" s="133"/>
      <c r="AM1" s="133"/>
      <c r="AN1" s="133"/>
      <c r="AO1" s="133"/>
      <c r="AP1" s="133"/>
      <c r="AQ1" s="133"/>
      <c r="AR1" s="133"/>
      <c r="AS1" s="133"/>
      <c r="AT1" s="134"/>
    </row>
    <row r="2" spans="1:46" x14ac:dyDescent="0.45">
      <c r="A2" s="135"/>
      <c r="B2" s="136"/>
      <c r="C2" s="137"/>
      <c r="D2" s="135"/>
      <c r="E2" s="136"/>
      <c r="F2" s="136"/>
      <c r="G2" s="136"/>
      <c r="H2" s="136"/>
      <c r="I2" s="136"/>
      <c r="J2" s="137"/>
      <c r="K2" s="135"/>
      <c r="L2" s="136"/>
      <c r="M2" s="136"/>
      <c r="N2" s="146"/>
      <c r="O2" s="138"/>
      <c r="P2" s="139"/>
      <c r="Q2" s="139"/>
      <c r="R2" s="139"/>
      <c r="S2" s="139"/>
      <c r="T2" s="139"/>
      <c r="U2" s="140"/>
      <c r="V2" s="146"/>
      <c r="W2" s="136"/>
      <c r="X2" s="136"/>
      <c r="Y2" s="146"/>
      <c r="Z2" s="135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/>
      <c r="AL2" s="136"/>
      <c r="AM2" s="136"/>
      <c r="AN2" s="136"/>
      <c r="AO2" s="136"/>
      <c r="AP2" s="136"/>
      <c r="AQ2" s="136"/>
      <c r="AR2" s="136"/>
      <c r="AS2" s="136"/>
      <c r="AT2" s="137"/>
    </row>
    <row r="3" spans="1:46" x14ac:dyDescent="0.45">
      <c r="A3" s="138"/>
      <c r="B3" s="139"/>
      <c r="C3" s="140"/>
      <c r="D3" s="138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72" t="s">
        <v>143</v>
      </c>
      <c r="P3" s="142"/>
      <c r="Q3" s="142"/>
      <c r="R3" s="142"/>
      <c r="S3" s="142"/>
      <c r="T3" s="142"/>
      <c r="U3" s="143"/>
      <c r="V3" s="139"/>
      <c r="W3" s="139"/>
      <c r="X3" s="139"/>
      <c r="Y3" s="139"/>
      <c r="Z3" s="138"/>
      <c r="AA3" s="139"/>
      <c r="AB3" s="139"/>
      <c r="AC3" s="139"/>
      <c r="AD3" s="139"/>
      <c r="AE3" s="139"/>
      <c r="AF3" s="139"/>
      <c r="AG3" s="139"/>
      <c r="AH3" s="139"/>
      <c r="AI3" s="139"/>
      <c r="AJ3" s="140"/>
      <c r="AK3" s="138"/>
      <c r="AL3" s="139"/>
      <c r="AM3" s="139"/>
      <c r="AN3" s="139"/>
      <c r="AO3" s="139"/>
      <c r="AP3" s="139"/>
      <c r="AQ3" s="139"/>
      <c r="AR3" s="139"/>
      <c r="AS3" s="139"/>
      <c r="AT3" s="140"/>
    </row>
    <row r="4" spans="1:46" x14ac:dyDescent="0.45">
      <c r="A4" s="20" t="s">
        <v>27</v>
      </c>
      <c r="B4" s="20"/>
      <c r="C4" s="20"/>
    </row>
    <row r="5" spans="1:46" x14ac:dyDescent="0.4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7" spans="1:46" x14ac:dyDescent="0.45">
      <c r="D7" s="8" t="s">
        <v>28</v>
      </c>
    </row>
    <row r="8" spans="1:46" x14ac:dyDescent="0.45">
      <c r="D8" s="176" t="s">
        <v>124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4"/>
    </row>
    <row r="9" spans="1:46" x14ac:dyDescent="0.45">
      <c r="D9" s="138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40"/>
    </row>
    <row r="10" spans="1:46" x14ac:dyDescent="0.45">
      <c r="D10" s="27" t="s">
        <v>29</v>
      </c>
      <c r="E10" s="20"/>
      <c r="S10" s="28"/>
      <c r="T10" s="29" t="s">
        <v>125</v>
      </c>
      <c r="AT10" s="28"/>
    </row>
    <row r="11" spans="1:46" x14ac:dyDescent="0.45">
      <c r="D11" s="27" t="s">
        <v>30</v>
      </c>
      <c r="E11" s="20"/>
      <c r="S11" s="28"/>
      <c r="T11" s="173" t="s">
        <v>144</v>
      </c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5"/>
    </row>
    <row r="12" spans="1:46" x14ac:dyDescent="0.45">
      <c r="D12" s="27" t="s">
        <v>31</v>
      </c>
      <c r="E12" s="20"/>
      <c r="S12" s="28"/>
      <c r="T12" s="29" t="s">
        <v>139</v>
      </c>
      <c r="AT12" s="28"/>
    </row>
    <row r="13" spans="1:46" ht="16.5" customHeight="1" x14ac:dyDescent="0.45">
      <c r="D13" s="27" t="s">
        <v>32</v>
      </c>
      <c r="E13" s="20"/>
      <c r="S13" s="28"/>
      <c r="T13" s="29" t="s">
        <v>145</v>
      </c>
      <c r="AT13" s="28"/>
    </row>
    <row r="14" spans="1:46" x14ac:dyDescent="0.45">
      <c r="D14" s="27" t="s">
        <v>33</v>
      </c>
      <c r="E14" s="20"/>
      <c r="S14" s="28"/>
      <c r="T14" s="30" t="s">
        <v>146</v>
      </c>
      <c r="AT14" s="28"/>
    </row>
    <row r="15" spans="1:46" x14ac:dyDescent="0.45">
      <c r="D15" s="27" t="s">
        <v>34</v>
      </c>
      <c r="E15" s="20"/>
      <c r="S15" s="28"/>
      <c r="T15" s="30" t="s">
        <v>147</v>
      </c>
      <c r="AT15" s="28"/>
    </row>
    <row r="16" spans="1:46" ht="16.5" customHeight="1" x14ac:dyDescent="0.45">
      <c r="A16" s="7"/>
      <c r="B16" s="7"/>
      <c r="C16" s="7"/>
      <c r="D16" s="27" t="s">
        <v>35</v>
      </c>
      <c r="E16" s="20"/>
      <c r="S16" s="28"/>
      <c r="T16" s="29" t="s">
        <v>148</v>
      </c>
      <c r="AT16" s="28"/>
    </row>
    <row r="17" spans="1:46" x14ac:dyDescent="0.45">
      <c r="A17" s="7"/>
      <c r="B17" s="7"/>
      <c r="C17" s="7"/>
      <c r="D17" s="27" t="s">
        <v>36</v>
      </c>
      <c r="E17" s="20"/>
      <c r="S17" s="28"/>
      <c r="T17" s="30" t="s">
        <v>126</v>
      </c>
      <c r="AT17" s="28"/>
    </row>
    <row r="18" spans="1:46" x14ac:dyDescent="0.45">
      <c r="A18" s="7"/>
      <c r="B18" s="7"/>
      <c r="C18" s="7"/>
      <c r="D18" s="27" t="s">
        <v>37</v>
      </c>
      <c r="E18" s="20"/>
      <c r="S18" s="28"/>
      <c r="T18" s="30" t="s">
        <v>127</v>
      </c>
      <c r="AT18" s="28"/>
    </row>
    <row r="19" spans="1:46" x14ac:dyDescent="0.45">
      <c r="A19" s="7"/>
      <c r="B19" s="7"/>
      <c r="C19" s="7"/>
      <c r="D19" s="31" t="s">
        <v>38</v>
      </c>
      <c r="E19" s="32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  <c r="T19" s="35" t="s">
        <v>128</v>
      </c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4"/>
    </row>
    <row r="20" spans="1:46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:46" ht="15.75" customHeight="1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ht="15.75" customHeight="1" x14ac:dyDescent="0.45"/>
    <row r="23" spans="1:46" ht="15.75" customHeight="1" x14ac:dyDescent="0.45"/>
    <row r="24" spans="1:46" ht="15.75" customHeight="1" x14ac:dyDescent="0.45"/>
    <row r="25" spans="1:46" ht="15.75" customHeight="1" x14ac:dyDescent="0.45"/>
    <row r="26" spans="1:46" ht="15.75" customHeight="1" x14ac:dyDescent="0.45"/>
    <row r="27" spans="1:46" ht="15.75" customHeight="1" x14ac:dyDescent="0.45"/>
    <row r="28" spans="1:46" ht="15.75" customHeight="1" x14ac:dyDescent="0.45"/>
    <row r="29" spans="1:46" ht="15.75" customHeight="1" x14ac:dyDescent="0.45"/>
    <row r="30" spans="1:46" ht="15.75" customHeight="1" x14ac:dyDescent="0.45"/>
    <row r="31" spans="1:46" ht="15.75" customHeight="1" x14ac:dyDescent="0.45"/>
    <row r="32" spans="1:46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0">
    <mergeCell ref="T11:AT11"/>
    <mergeCell ref="O3:U3"/>
    <mergeCell ref="D8:AT9"/>
    <mergeCell ref="A1:C3"/>
    <mergeCell ref="D1:J3"/>
    <mergeCell ref="K1:N3"/>
    <mergeCell ref="O1:U2"/>
    <mergeCell ref="V1:Y3"/>
    <mergeCell ref="Z1:AJ3"/>
    <mergeCell ref="AK1:A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T986"/>
  <sheetViews>
    <sheetView showGridLines="0" topLeftCell="A89" workbookViewId="0">
      <selection activeCell="C103" sqref="C103:AF103"/>
    </sheetView>
  </sheetViews>
  <sheetFormatPr defaultColWidth="14.3984375" defaultRowHeight="15.75" x14ac:dyDescent="0.5"/>
  <cols>
    <col min="1" max="3" width="2.86328125" style="2" customWidth="1"/>
    <col min="4" max="4" width="3.3984375" style="2" customWidth="1"/>
    <col min="5" max="7" width="2.86328125" style="2" customWidth="1"/>
    <col min="8" max="8" width="6.3984375" style="2" customWidth="1"/>
    <col min="9" max="14" width="2.86328125" style="2" customWidth="1"/>
    <col min="15" max="15" width="17.3984375" style="2" customWidth="1"/>
    <col min="16" max="17" width="2.86328125" style="2" customWidth="1"/>
    <col min="18" max="18" width="3.73046875" style="2" customWidth="1"/>
    <col min="19" max="36" width="2.86328125" style="2" customWidth="1"/>
    <col min="37" max="37" width="20.33203125" style="2" bestFit="1" customWidth="1"/>
    <col min="38" max="46" width="2.86328125" style="2" customWidth="1"/>
    <col min="47" max="16384" width="14.3984375" style="2"/>
  </cols>
  <sheetData>
    <row r="1" spans="1:46" x14ac:dyDescent="0.5">
      <c r="A1" s="205" t="s">
        <v>0</v>
      </c>
      <c r="B1" s="191"/>
      <c r="C1" s="199"/>
      <c r="D1" s="190" t="str">
        <f>'01.Cover'!Y12</f>
        <v>TS_UPLOAD_SO</v>
      </c>
      <c r="E1" s="191"/>
      <c r="F1" s="191"/>
      <c r="G1" s="191"/>
      <c r="H1" s="191"/>
      <c r="I1" s="191"/>
      <c r="J1" s="199"/>
      <c r="K1" s="205" t="s">
        <v>1</v>
      </c>
      <c r="L1" s="191"/>
      <c r="M1" s="191"/>
      <c r="N1" s="191"/>
      <c r="O1" s="207" t="str">
        <f ca="1">MID(CELL("filename",A1),FIND("]",CELL("filename",A1))+1,255)</f>
        <v>TS.Technical Details</v>
      </c>
      <c r="P1" s="191"/>
      <c r="Q1" s="191"/>
      <c r="R1" s="191"/>
      <c r="S1" s="191"/>
      <c r="T1" s="191"/>
      <c r="U1" s="199"/>
      <c r="V1" s="208" t="s">
        <v>2</v>
      </c>
      <c r="W1" s="191"/>
      <c r="X1" s="191"/>
      <c r="Y1" s="191"/>
      <c r="Z1" s="190" t="str">
        <f>'01.Cover'!B9</f>
        <v>Technical Specification</v>
      </c>
      <c r="AA1" s="191"/>
      <c r="AB1" s="191"/>
      <c r="AC1" s="191"/>
      <c r="AD1" s="191"/>
      <c r="AE1" s="191"/>
      <c r="AF1" s="191"/>
      <c r="AG1" s="191"/>
      <c r="AH1" s="191"/>
      <c r="AI1" s="191"/>
      <c r="AJ1" s="199"/>
      <c r="AK1" s="190"/>
      <c r="AL1" s="191"/>
      <c r="AM1" s="191"/>
      <c r="AN1" s="191"/>
      <c r="AO1" s="191"/>
      <c r="AP1" s="191"/>
      <c r="AQ1" s="191"/>
      <c r="AR1" s="191"/>
      <c r="AS1" s="191"/>
      <c r="AT1" s="191"/>
    </row>
    <row r="2" spans="1:46" x14ac:dyDescent="0.5">
      <c r="A2" s="192"/>
      <c r="B2" s="193"/>
      <c r="C2" s="200"/>
      <c r="D2" s="192"/>
      <c r="E2" s="193"/>
      <c r="F2" s="193"/>
      <c r="G2" s="193"/>
      <c r="H2" s="193"/>
      <c r="I2" s="193"/>
      <c r="J2" s="200"/>
      <c r="K2" s="192"/>
      <c r="L2" s="193"/>
      <c r="M2" s="193"/>
      <c r="N2" s="206"/>
      <c r="O2" s="194"/>
      <c r="P2" s="195"/>
      <c r="Q2" s="195"/>
      <c r="R2" s="195"/>
      <c r="S2" s="195"/>
      <c r="T2" s="195"/>
      <c r="U2" s="201"/>
      <c r="V2" s="206"/>
      <c r="W2" s="193"/>
      <c r="X2" s="193"/>
      <c r="Y2" s="206"/>
      <c r="Z2" s="192"/>
      <c r="AA2" s="193"/>
      <c r="AB2" s="193"/>
      <c r="AC2" s="193"/>
      <c r="AD2" s="193"/>
      <c r="AE2" s="193"/>
      <c r="AF2" s="193"/>
      <c r="AG2" s="193"/>
      <c r="AH2" s="193"/>
      <c r="AI2" s="193"/>
      <c r="AJ2" s="200"/>
      <c r="AK2" s="192"/>
      <c r="AL2" s="193"/>
      <c r="AM2" s="193"/>
      <c r="AN2" s="193"/>
      <c r="AO2" s="193"/>
      <c r="AP2" s="193"/>
      <c r="AQ2" s="193"/>
      <c r="AR2" s="193"/>
      <c r="AS2" s="193"/>
      <c r="AT2" s="193"/>
    </row>
    <row r="3" spans="1:46" x14ac:dyDescent="0.5">
      <c r="A3" s="194"/>
      <c r="B3" s="195"/>
      <c r="C3" s="201"/>
      <c r="D3" s="194"/>
      <c r="E3" s="195"/>
      <c r="F3" s="195"/>
      <c r="G3" s="195"/>
      <c r="H3" s="195"/>
      <c r="I3" s="195"/>
      <c r="J3" s="201"/>
      <c r="K3" s="194"/>
      <c r="L3" s="195"/>
      <c r="M3" s="195"/>
      <c r="N3" s="195"/>
      <c r="O3" s="196" t="s">
        <v>143</v>
      </c>
      <c r="P3" s="197"/>
      <c r="Q3" s="197"/>
      <c r="R3" s="197"/>
      <c r="S3" s="197"/>
      <c r="T3" s="197"/>
      <c r="U3" s="198"/>
      <c r="V3" s="195"/>
      <c r="W3" s="195"/>
      <c r="X3" s="195"/>
      <c r="Y3" s="195"/>
      <c r="Z3" s="194"/>
      <c r="AA3" s="195"/>
      <c r="AB3" s="195"/>
      <c r="AC3" s="195"/>
      <c r="AD3" s="195"/>
      <c r="AE3" s="195"/>
      <c r="AF3" s="195"/>
      <c r="AG3" s="195"/>
      <c r="AH3" s="195"/>
      <c r="AI3" s="195"/>
      <c r="AJ3" s="201"/>
      <c r="AK3" s="194"/>
      <c r="AL3" s="195"/>
      <c r="AM3" s="195"/>
      <c r="AN3" s="195"/>
      <c r="AO3" s="195"/>
      <c r="AP3" s="195"/>
      <c r="AQ3" s="195"/>
      <c r="AR3" s="195"/>
      <c r="AS3" s="195"/>
      <c r="AT3" s="195"/>
    </row>
    <row r="4" spans="1:46" x14ac:dyDescent="0.5">
      <c r="A4" s="3"/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5"/>
      <c r="AT4" s="5"/>
    </row>
    <row r="5" spans="1:46" ht="21.75" customHeight="1" x14ac:dyDescent="0.5">
      <c r="A5" s="6" t="s">
        <v>39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5"/>
      <c r="AS5" s="5"/>
      <c r="AT5" s="5"/>
    </row>
    <row r="6" spans="1:46" x14ac:dyDescent="0.5">
      <c r="A6" s="4"/>
      <c r="B6" s="4"/>
      <c r="C6" s="3" t="s">
        <v>129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7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5"/>
      <c r="AS6" s="5"/>
      <c r="AT6" s="5"/>
    </row>
    <row r="7" spans="1:46" x14ac:dyDescent="0.5">
      <c r="A7" s="4"/>
      <c r="B7" s="4"/>
      <c r="C7" s="4"/>
      <c r="D7" s="8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8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5"/>
      <c r="AS7" s="5"/>
      <c r="AT7" s="5"/>
    </row>
    <row r="8" spans="1:46" x14ac:dyDescent="0.5">
      <c r="A8" s="4"/>
      <c r="B8" s="4"/>
      <c r="C8" s="4" t="s">
        <v>149</v>
      </c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8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5"/>
      <c r="AS8" s="5"/>
      <c r="AT8" s="5"/>
    </row>
    <row r="9" spans="1:46" x14ac:dyDescent="0.5">
      <c r="A9" s="4"/>
      <c r="B9" s="4"/>
      <c r="C9" s="4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8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5"/>
      <c r="AS9" s="5"/>
      <c r="AT9" s="5"/>
    </row>
    <row r="10" spans="1:46" x14ac:dyDescent="0.5">
      <c r="A10" s="4"/>
      <c r="B10" s="4"/>
      <c r="C10" s="4" t="s">
        <v>150</v>
      </c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8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5"/>
      <c r="AS10" s="5"/>
      <c r="AT10" s="5"/>
    </row>
    <row r="11" spans="1:46" x14ac:dyDescent="0.5">
      <c r="A11" s="4"/>
      <c r="B11" s="4"/>
      <c r="C11" s="4" t="s">
        <v>151</v>
      </c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8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5"/>
      <c r="AS11" s="5"/>
      <c r="AT11" s="5"/>
    </row>
    <row r="12" spans="1:46" x14ac:dyDescent="0.5">
      <c r="A12" s="4"/>
      <c r="B12" s="4"/>
      <c r="C12" s="4" t="s">
        <v>152</v>
      </c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8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5"/>
      <c r="AS12" s="5"/>
      <c r="AT12" s="5"/>
    </row>
    <row r="13" spans="1:46" x14ac:dyDescent="0.5">
      <c r="A13" s="4"/>
      <c r="B13" s="4"/>
      <c r="C13" s="4" t="s">
        <v>153</v>
      </c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8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5"/>
      <c r="AS13" s="5"/>
      <c r="AT13" s="5"/>
    </row>
    <row r="14" spans="1:46" x14ac:dyDescent="0.5">
      <c r="A14" s="4"/>
      <c r="B14" s="4"/>
      <c r="C14" s="4" t="s">
        <v>154</v>
      </c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8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5"/>
      <c r="AS14" s="5"/>
      <c r="AT14" s="5"/>
    </row>
    <row r="15" spans="1:46" x14ac:dyDescent="0.5">
      <c r="A15" s="4"/>
      <c r="B15" s="4"/>
      <c r="C15" s="4" t="s">
        <v>155</v>
      </c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8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5"/>
      <c r="AS15" s="5"/>
      <c r="AT15" s="5"/>
    </row>
    <row r="16" spans="1:46" x14ac:dyDescent="0.5">
      <c r="A16" s="4"/>
      <c r="B16" s="4"/>
      <c r="C16" s="4" t="s">
        <v>156</v>
      </c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8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5"/>
      <c r="AS16" s="5"/>
      <c r="AT16" s="5"/>
    </row>
    <row r="17" spans="1:46" x14ac:dyDescent="0.5">
      <c r="A17" s="4"/>
      <c r="B17" s="4"/>
      <c r="C17" s="4"/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8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5"/>
      <c r="AS17" s="5"/>
      <c r="AT17" s="5"/>
    </row>
    <row r="18" spans="1:46" x14ac:dyDescent="0.5">
      <c r="A18" s="4"/>
      <c r="B18" s="4"/>
      <c r="C18" s="4" t="s">
        <v>157</v>
      </c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8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5"/>
      <c r="AS18" s="5"/>
      <c r="AT18" s="5"/>
    </row>
    <row r="19" spans="1:46" x14ac:dyDescent="0.5">
      <c r="A19" s="4"/>
      <c r="B19" s="4"/>
      <c r="C19" s="4" t="s">
        <v>158</v>
      </c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8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5"/>
      <c r="AS19" s="5"/>
      <c r="AT19" s="5"/>
    </row>
    <row r="20" spans="1:46" x14ac:dyDescent="0.5">
      <c r="A20" s="4"/>
      <c r="B20" s="4"/>
      <c r="C20" s="4" t="s">
        <v>159</v>
      </c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8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5"/>
      <c r="AS20" s="5"/>
      <c r="AT20" s="5"/>
    </row>
    <row r="21" spans="1:46" x14ac:dyDescent="0.5">
      <c r="A21" s="4"/>
      <c r="B21" s="4"/>
      <c r="C21" s="4" t="s">
        <v>160</v>
      </c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8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5"/>
      <c r="AS21" s="5"/>
      <c r="AT21" s="5"/>
    </row>
    <row r="22" spans="1:46" x14ac:dyDescent="0.5">
      <c r="A22" s="4"/>
      <c r="B22" s="4"/>
      <c r="C22" s="4" t="s">
        <v>161</v>
      </c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8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5"/>
      <c r="AS22" s="5"/>
      <c r="AT22" s="5"/>
    </row>
    <row r="23" spans="1:46" x14ac:dyDescent="0.5">
      <c r="A23" s="4"/>
      <c r="B23" s="4"/>
      <c r="C23" s="4" t="s">
        <v>162</v>
      </c>
      <c r="D23" s="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8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5"/>
      <c r="AS23" s="5"/>
      <c r="AT23" s="5"/>
    </row>
    <row r="24" spans="1:46" x14ac:dyDescent="0.5">
      <c r="A24" s="4"/>
      <c r="B24" s="4"/>
      <c r="C24" s="4" t="s">
        <v>163</v>
      </c>
      <c r="D24" s="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8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5"/>
      <c r="AS24" s="5"/>
      <c r="AT24" s="5"/>
    </row>
    <row r="25" spans="1:46" x14ac:dyDescent="0.5">
      <c r="A25" s="4"/>
      <c r="B25" s="4"/>
      <c r="C25" s="4" t="s">
        <v>164</v>
      </c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8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5"/>
      <c r="AS25" s="5"/>
      <c r="AT25" s="5"/>
    </row>
    <row r="26" spans="1:46" x14ac:dyDescent="0.5">
      <c r="A26" s="4"/>
      <c r="B26" s="4"/>
      <c r="C26" s="4" t="s">
        <v>165</v>
      </c>
      <c r="D26" s="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8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5"/>
      <c r="AS26" s="5"/>
      <c r="AT26" s="5"/>
    </row>
    <row r="27" spans="1:46" x14ac:dyDescent="0.5">
      <c r="A27" s="4"/>
      <c r="B27" s="4"/>
      <c r="C27" s="4" t="s">
        <v>166</v>
      </c>
      <c r="D27" s="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8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5"/>
      <c r="AS27" s="5"/>
      <c r="AT27" s="5"/>
    </row>
    <row r="28" spans="1:46" x14ac:dyDescent="0.5">
      <c r="A28" s="4"/>
      <c r="B28" s="4"/>
      <c r="C28" s="4"/>
      <c r="D28" s="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8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5"/>
      <c r="AS28" s="5"/>
      <c r="AT28" s="5"/>
    </row>
    <row r="29" spans="1:46" x14ac:dyDescent="0.5">
      <c r="A29" s="4"/>
      <c r="B29" s="4"/>
      <c r="C29" s="4" t="s">
        <v>167</v>
      </c>
      <c r="D29" s="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8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5"/>
      <c r="AS29" s="5"/>
      <c r="AT29" s="5"/>
    </row>
    <row r="30" spans="1:46" x14ac:dyDescent="0.5">
      <c r="A30" s="4"/>
      <c r="B30" s="4"/>
      <c r="C30" s="4" t="s">
        <v>168</v>
      </c>
      <c r="D30" s="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8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5"/>
      <c r="AS30" s="5"/>
      <c r="AT30" s="5"/>
    </row>
    <row r="31" spans="1:46" x14ac:dyDescent="0.5">
      <c r="A31" s="4"/>
      <c r="B31" s="4"/>
      <c r="C31" s="4" t="s">
        <v>169</v>
      </c>
      <c r="D31" s="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8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5"/>
      <c r="AS31" s="5"/>
      <c r="AT31" s="5"/>
    </row>
    <row r="32" spans="1:46" x14ac:dyDescent="0.5">
      <c r="A32" s="4"/>
      <c r="B32" s="4"/>
      <c r="C32" s="4" t="s">
        <v>170</v>
      </c>
      <c r="D32" s="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8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5"/>
      <c r="AS32" s="5"/>
      <c r="AT32" s="5"/>
    </row>
    <row r="33" spans="1:46" x14ac:dyDescent="0.5">
      <c r="A33" s="4"/>
      <c r="B33" s="4"/>
      <c r="C33" s="4"/>
      <c r="D33" s="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8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5"/>
      <c r="AS33" s="5"/>
      <c r="AT33" s="5"/>
    </row>
    <row r="34" spans="1:46" x14ac:dyDescent="0.5">
      <c r="A34" s="4"/>
      <c r="B34" s="4"/>
      <c r="C34" s="4" t="s">
        <v>171</v>
      </c>
      <c r="D34" s="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8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5"/>
      <c r="AS34" s="5"/>
      <c r="AT34" s="5"/>
    </row>
    <row r="35" spans="1:46" x14ac:dyDescent="0.5">
      <c r="A35" s="4"/>
      <c r="B35" s="4"/>
      <c r="C35" s="4" t="s">
        <v>168</v>
      </c>
      <c r="D35" s="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8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5"/>
      <c r="AS35" s="5"/>
      <c r="AT35" s="5"/>
    </row>
    <row r="36" spans="1:46" x14ac:dyDescent="0.5">
      <c r="A36" s="4"/>
      <c r="B36" s="4"/>
      <c r="C36" s="4" t="s">
        <v>172</v>
      </c>
      <c r="D36" s="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8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5"/>
      <c r="AS36" s="5"/>
      <c r="AT36" s="5"/>
    </row>
    <row r="37" spans="1:46" x14ac:dyDescent="0.5">
      <c r="A37" s="4"/>
      <c r="B37" s="4"/>
      <c r="C37" s="4" t="s">
        <v>173</v>
      </c>
      <c r="D37" s="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8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5"/>
      <c r="AS37" s="5"/>
      <c r="AT37" s="5"/>
    </row>
    <row r="38" spans="1:46" x14ac:dyDescent="0.5">
      <c r="A38" s="4"/>
      <c r="B38" s="4"/>
      <c r="C38" s="4"/>
      <c r="D38" s="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8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5"/>
      <c r="AS38" s="5"/>
      <c r="AT38" s="5"/>
    </row>
    <row r="39" spans="1:46" x14ac:dyDescent="0.5">
      <c r="A39" s="4"/>
      <c r="B39" s="4"/>
      <c r="C39" s="4"/>
      <c r="D39" s="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8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5"/>
      <c r="AS39" s="5"/>
      <c r="AT39" s="5"/>
    </row>
    <row r="40" spans="1:46" x14ac:dyDescent="0.5">
      <c r="A40" s="4"/>
      <c r="B40" s="4"/>
      <c r="C40" s="4"/>
      <c r="D40" s="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8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5"/>
      <c r="AS40" s="5"/>
      <c r="AT40" s="5"/>
    </row>
    <row r="41" spans="1:46" x14ac:dyDescent="0.5">
      <c r="A41" s="4"/>
      <c r="B41" s="4"/>
      <c r="C41" s="4"/>
      <c r="D41" s="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8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5"/>
      <c r="AS41" s="5"/>
      <c r="AT41" s="5"/>
    </row>
    <row r="42" spans="1:46" x14ac:dyDescent="0.5">
      <c r="A42" s="4"/>
      <c r="B42" s="4"/>
      <c r="C42" s="4"/>
      <c r="D42" s="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8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5"/>
      <c r="AS42" s="5"/>
      <c r="AT42" s="5"/>
    </row>
    <row r="43" spans="1:46" x14ac:dyDescent="0.5">
      <c r="A43" s="7"/>
      <c r="B43" s="7"/>
      <c r="C43" s="8"/>
      <c r="D43" s="8"/>
      <c r="E43" s="4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7"/>
      <c r="AK43" s="7"/>
      <c r="AL43" s="7"/>
      <c r="AM43" s="7"/>
      <c r="AN43" s="7"/>
      <c r="AO43" s="7"/>
      <c r="AP43" s="7"/>
      <c r="AQ43" s="7"/>
    </row>
    <row r="44" spans="1:46" x14ac:dyDescent="0.5">
      <c r="A44" s="7"/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7"/>
      <c r="AK44" s="7"/>
      <c r="AL44" s="7"/>
      <c r="AM44" s="7"/>
      <c r="AN44" s="7"/>
      <c r="AO44" s="7"/>
      <c r="AP44" s="7"/>
      <c r="AQ44" s="7"/>
    </row>
    <row r="45" spans="1:46" ht="33.75" customHeight="1" x14ac:dyDescent="0.5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7"/>
      <c r="AK45" s="7"/>
      <c r="AL45" s="7"/>
      <c r="AM45" s="7"/>
      <c r="AN45" s="7"/>
      <c r="AO45" s="7"/>
      <c r="AP45" s="7"/>
      <c r="AQ45" s="7"/>
    </row>
    <row r="46" spans="1:46" ht="30.75" customHeight="1" x14ac:dyDescent="0.5">
      <c r="A46" s="7"/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7"/>
      <c r="AK46" s="7"/>
      <c r="AL46" s="7"/>
      <c r="AM46" s="7"/>
      <c r="AN46" s="7"/>
      <c r="AO46" s="7"/>
      <c r="AP46" s="7"/>
      <c r="AQ46" s="7"/>
    </row>
    <row r="47" spans="1:46" x14ac:dyDescent="0.5">
      <c r="A47" s="7"/>
      <c r="B47" s="7"/>
      <c r="C47" s="3" t="s">
        <v>130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</row>
    <row r="48" spans="1:46" x14ac:dyDescent="0.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</row>
    <row r="49" spans="1:43" x14ac:dyDescent="0.5">
      <c r="A49" s="7"/>
      <c r="B49" s="7"/>
      <c r="C49" s="7" t="s">
        <v>174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</row>
    <row r="50" spans="1:43" x14ac:dyDescent="0.5">
      <c r="A50" s="7"/>
      <c r="B50" s="7"/>
      <c r="C50" s="7" t="s">
        <v>175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</row>
    <row r="51" spans="1:43" x14ac:dyDescent="0.5">
      <c r="A51" s="7"/>
      <c r="B51" s="7"/>
      <c r="C51" s="7" t="s">
        <v>176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 spans="1:43" x14ac:dyDescent="0.5">
      <c r="A52" s="7"/>
      <c r="B52" s="7"/>
      <c r="C52" s="7" t="s">
        <v>177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3" spans="1:43" x14ac:dyDescent="0.5">
      <c r="A53" s="7"/>
      <c r="B53" s="7"/>
      <c r="C53" s="7" t="s">
        <v>178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</row>
    <row r="54" spans="1:43" x14ac:dyDescent="0.5">
      <c r="A54" s="7"/>
      <c r="B54" s="7"/>
      <c r="C54" s="7" t="s">
        <v>179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</row>
    <row r="55" spans="1:43" x14ac:dyDescent="0.5">
      <c r="A55" s="7"/>
      <c r="B55" s="7"/>
      <c r="C55" s="7" t="s">
        <v>180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 spans="1:43" x14ac:dyDescent="0.5">
      <c r="A56" s="7"/>
      <c r="B56" s="7"/>
      <c r="C56" s="7" t="s">
        <v>181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spans="1:43" ht="15.75" customHeight="1" x14ac:dyDescent="0.5">
      <c r="A57" s="7"/>
      <c r="B57" s="7"/>
      <c r="C57" s="7" t="s">
        <v>182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</row>
    <row r="58" spans="1:43" ht="15.75" customHeight="1" x14ac:dyDescent="0.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 spans="1:43" ht="15.75" customHeight="1" x14ac:dyDescent="0.5">
      <c r="A59" s="7"/>
      <c r="B59" s="7"/>
      <c r="C59" s="3" t="s">
        <v>131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</row>
    <row r="60" spans="1:43" ht="15.75" customHeight="1" x14ac:dyDescent="0.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</row>
    <row r="61" spans="1:43" ht="15.75" customHeight="1" x14ac:dyDescent="0.5">
      <c r="A61" s="7"/>
      <c r="B61" s="7"/>
      <c r="C61" s="202" t="s">
        <v>132</v>
      </c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4"/>
      <c r="O61" s="149" t="s">
        <v>133</v>
      </c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8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</row>
    <row r="62" spans="1:43" ht="51" customHeight="1" x14ac:dyDescent="0.5">
      <c r="A62" s="8"/>
      <c r="B62" s="8"/>
      <c r="C62" s="183" t="s">
        <v>183</v>
      </c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7" t="s">
        <v>191</v>
      </c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9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ht="51" customHeight="1" x14ac:dyDescent="0.5">
      <c r="A63" s="7"/>
      <c r="B63" s="7"/>
      <c r="C63" s="183" t="s">
        <v>184</v>
      </c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7" t="s">
        <v>192</v>
      </c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9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</row>
    <row r="64" spans="1:43" ht="51" customHeight="1" x14ac:dyDescent="0.5">
      <c r="A64" s="7"/>
      <c r="B64" s="7"/>
      <c r="C64" s="183" t="s">
        <v>185</v>
      </c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7" t="s">
        <v>193</v>
      </c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9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 spans="1:43" ht="51" customHeight="1" x14ac:dyDescent="0.5">
      <c r="A65" s="7"/>
      <c r="B65" s="7"/>
      <c r="C65" s="183" t="s">
        <v>186</v>
      </c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7" t="s">
        <v>194</v>
      </c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9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 spans="1:43" ht="57.75" customHeight="1" x14ac:dyDescent="0.5">
      <c r="A66" s="7"/>
      <c r="B66" s="7"/>
      <c r="C66" s="183" t="s">
        <v>187</v>
      </c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7" t="s">
        <v>195</v>
      </c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9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</row>
    <row r="67" spans="1:43" ht="50.25" customHeight="1" x14ac:dyDescent="0.5">
      <c r="A67" s="7"/>
      <c r="B67" s="7"/>
      <c r="C67" s="183" t="s">
        <v>188</v>
      </c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7" t="s">
        <v>196</v>
      </c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9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</row>
    <row r="68" spans="1:43" ht="45" customHeight="1" x14ac:dyDescent="0.5">
      <c r="A68" s="7"/>
      <c r="B68" s="7"/>
      <c r="C68" s="183" t="s">
        <v>189</v>
      </c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7" t="s">
        <v>197</v>
      </c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9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 spans="1:43" ht="45" customHeight="1" x14ac:dyDescent="0.5">
      <c r="A69" s="7"/>
      <c r="B69" s="7"/>
      <c r="C69" s="184" t="s">
        <v>190</v>
      </c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6"/>
      <c r="O69" s="187" t="s">
        <v>198</v>
      </c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9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</row>
    <row r="70" spans="1:43" ht="15.75" customHeight="1" x14ac:dyDescent="0.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</row>
    <row r="71" spans="1:43" ht="15.75" customHeight="1" x14ac:dyDescent="0.5">
      <c r="A71" s="7"/>
      <c r="B71" s="7"/>
      <c r="C71" s="3" t="s">
        <v>134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</row>
    <row r="72" spans="1:43" ht="15.75" customHeight="1" x14ac:dyDescent="0.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</row>
    <row r="73" spans="1:43" ht="15.75" customHeight="1" x14ac:dyDescent="0.5">
      <c r="A73" s="7"/>
      <c r="B73" s="7"/>
      <c r="C73" s="182" t="s">
        <v>135</v>
      </c>
      <c r="D73" s="182"/>
      <c r="E73" s="182"/>
      <c r="F73" s="182"/>
      <c r="G73" s="182"/>
      <c r="H73" s="182"/>
      <c r="I73" s="182"/>
      <c r="J73" s="182"/>
      <c r="K73" s="182"/>
      <c r="L73" s="182" t="s">
        <v>133</v>
      </c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</row>
    <row r="74" spans="1:43" ht="15.75" customHeight="1" x14ac:dyDescent="0.5">
      <c r="A74" s="7"/>
      <c r="B74" s="7"/>
      <c r="C74" s="181" t="s">
        <v>199</v>
      </c>
      <c r="D74" s="181"/>
      <c r="E74" s="181"/>
      <c r="F74" s="181"/>
      <c r="G74" s="181"/>
      <c r="H74" s="181"/>
      <c r="I74" s="181"/>
      <c r="J74" s="181"/>
      <c r="K74" s="181"/>
      <c r="L74" s="178" t="s">
        <v>208</v>
      </c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7"/>
      <c r="AD74" s="7"/>
      <c r="AE74" s="7"/>
      <c r="AF74" s="7"/>
      <c r="AG74" s="7"/>
      <c r="AH74" s="7"/>
      <c r="AI74" s="7"/>
      <c r="AJ74" s="7"/>
      <c r="AK74" s="14"/>
      <c r="AL74" s="7"/>
      <c r="AM74" s="7"/>
      <c r="AN74" s="7"/>
      <c r="AO74" s="7"/>
      <c r="AP74" s="7"/>
      <c r="AQ74" s="7"/>
    </row>
    <row r="75" spans="1:43" ht="34.9" customHeight="1" x14ac:dyDescent="0.5">
      <c r="A75" s="7"/>
      <c r="B75" s="7"/>
      <c r="C75" s="181" t="s">
        <v>200</v>
      </c>
      <c r="D75" s="181"/>
      <c r="E75" s="181"/>
      <c r="F75" s="181"/>
      <c r="G75" s="181"/>
      <c r="H75" s="181"/>
      <c r="I75" s="181"/>
      <c r="J75" s="181"/>
      <c r="K75" s="181"/>
      <c r="L75" s="178" t="s">
        <v>209</v>
      </c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7"/>
      <c r="AD75" s="7"/>
      <c r="AE75" s="7"/>
      <c r="AF75" s="7"/>
      <c r="AG75" s="7"/>
      <c r="AH75" s="7"/>
      <c r="AI75" s="7"/>
      <c r="AJ75" s="7"/>
      <c r="AK75" s="15"/>
      <c r="AL75" s="7"/>
      <c r="AM75" s="7"/>
      <c r="AN75" s="7"/>
      <c r="AO75" s="7"/>
      <c r="AP75" s="7"/>
      <c r="AQ75" s="7"/>
    </row>
    <row r="76" spans="1:43" ht="29.25" customHeight="1" x14ac:dyDescent="0.5">
      <c r="A76" s="7"/>
      <c r="B76" s="7"/>
      <c r="C76" s="181" t="s">
        <v>201</v>
      </c>
      <c r="D76" s="181"/>
      <c r="E76" s="181"/>
      <c r="F76" s="181"/>
      <c r="G76" s="181"/>
      <c r="H76" s="181"/>
      <c r="I76" s="181"/>
      <c r="J76" s="181"/>
      <c r="K76" s="181"/>
      <c r="L76" s="178" t="s">
        <v>210</v>
      </c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7"/>
      <c r="AD76" s="7"/>
      <c r="AE76" s="7"/>
      <c r="AF76" s="7"/>
      <c r="AG76" s="7"/>
      <c r="AH76" s="12"/>
      <c r="AI76" s="12"/>
      <c r="AJ76" s="12"/>
      <c r="AK76" s="14"/>
      <c r="AL76" s="12"/>
      <c r="AM76" s="12"/>
      <c r="AN76" s="12"/>
      <c r="AO76" s="12"/>
      <c r="AP76" s="7"/>
      <c r="AQ76" s="7"/>
    </row>
    <row r="77" spans="1:43" ht="29.25" customHeight="1" x14ac:dyDescent="0.5">
      <c r="A77" s="7"/>
      <c r="B77" s="7"/>
      <c r="C77" s="181" t="s">
        <v>202</v>
      </c>
      <c r="D77" s="181"/>
      <c r="E77" s="181"/>
      <c r="F77" s="181"/>
      <c r="G77" s="181"/>
      <c r="H77" s="181"/>
      <c r="I77" s="181"/>
      <c r="J77" s="181"/>
      <c r="K77" s="181"/>
      <c r="L77" s="178" t="s">
        <v>211</v>
      </c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7"/>
      <c r="AD77" s="7"/>
      <c r="AE77" s="7"/>
      <c r="AF77" s="7"/>
      <c r="AG77" s="7"/>
      <c r="AH77" s="12"/>
      <c r="AI77" s="12"/>
      <c r="AJ77" s="12"/>
      <c r="AK77" s="14"/>
      <c r="AL77" s="12"/>
      <c r="AM77" s="12"/>
      <c r="AN77" s="12"/>
      <c r="AO77" s="12"/>
      <c r="AP77" s="7"/>
      <c r="AQ77" s="7"/>
    </row>
    <row r="78" spans="1:43" ht="29.25" customHeight="1" x14ac:dyDescent="0.5">
      <c r="A78" s="7"/>
      <c r="B78" s="7"/>
      <c r="C78" s="181" t="s">
        <v>203</v>
      </c>
      <c r="D78" s="181"/>
      <c r="E78" s="181"/>
      <c r="F78" s="181"/>
      <c r="G78" s="181"/>
      <c r="H78" s="181"/>
      <c r="I78" s="181"/>
      <c r="J78" s="181"/>
      <c r="K78" s="181"/>
      <c r="L78" s="178" t="s">
        <v>212</v>
      </c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7"/>
      <c r="AD78" s="7"/>
      <c r="AE78" s="7"/>
      <c r="AF78" s="7"/>
      <c r="AG78" s="7"/>
      <c r="AH78" s="12"/>
      <c r="AI78" s="12"/>
      <c r="AJ78" s="12"/>
      <c r="AK78" s="14"/>
      <c r="AL78" s="12"/>
      <c r="AM78" s="12"/>
      <c r="AN78" s="12"/>
      <c r="AO78" s="12"/>
      <c r="AP78" s="7"/>
      <c r="AQ78" s="7"/>
    </row>
    <row r="79" spans="1:43" ht="29.25" customHeight="1" x14ac:dyDescent="0.5">
      <c r="A79" s="7"/>
      <c r="B79" s="7"/>
      <c r="C79" s="181" t="s">
        <v>204</v>
      </c>
      <c r="D79" s="181"/>
      <c r="E79" s="181"/>
      <c r="F79" s="181"/>
      <c r="G79" s="181"/>
      <c r="H79" s="181"/>
      <c r="I79" s="181"/>
      <c r="J79" s="181"/>
      <c r="K79" s="181"/>
      <c r="L79" s="178" t="s">
        <v>213</v>
      </c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7"/>
      <c r="AD79" s="7"/>
      <c r="AE79" s="7"/>
      <c r="AF79" s="7"/>
      <c r="AG79" s="7"/>
      <c r="AH79" s="12"/>
      <c r="AI79" s="12"/>
      <c r="AJ79" s="12"/>
      <c r="AK79" s="15"/>
      <c r="AL79" s="12"/>
      <c r="AM79" s="12"/>
      <c r="AN79" s="12"/>
      <c r="AO79" s="12"/>
      <c r="AP79" s="7"/>
      <c r="AQ79" s="7"/>
    </row>
    <row r="80" spans="1:43" ht="29.25" customHeight="1" x14ac:dyDescent="0.5">
      <c r="A80" s="7"/>
      <c r="B80" s="7"/>
      <c r="C80" s="181" t="s">
        <v>205</v>
      </c>
      <c r="D80" s="181"/>
      <c r="E80" s="181"/>
      <c r="F80" s="181"/>
      <c r="G80" s="181"/>
      <c r="H80" s="181"/>
      <c r="I80" s="181"/>
      <c r="J80" s="181"/>
      <c r="K80" s="181"/>
      <c r="L80" s="178" t="s">
        <v>214</v>
      </c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7"/>
      <c r="AD80" s="7"/>
      <c r="AE80" s="7"/>
      <c r="AF80" s="7"/>
      <c r="AG80" s="7"/>
      <c r="AH80" s="7"/>
      <c r="AI80" s="7"/>
      <c r="AJ80" s="7"/>
      <c r="AK80" s="14"/>
      <c r="AL80" s="7"/>
      <c r="AM80" s="7"/>
      <c r="AN80" s="7"/>
      <c r="AO80" s="7"/>
      <c r="AP80" s="7"/>
      <c r="AQ80" s="7"/>
    </row>
    <row r="81" spans="1:45" ht="29.25" customHeight="1" x14ac:dyDescent="0.5">
      <c r="A81" s="7"/>
      <c r="B81" s="7"/>
      <c r="C81" s="181" t="s">
        <v>206</v>
      </c>
      <c r="D81" s="181"/>
      <c r="E81" s="181"/>
      <c r="F81" s="181"/>
      <c r="G81" s="181"/>
      <c r="H81" s="181"/>
      <c r="I81" s="181"/>
      <c r="J81" s="181"/>
      <c r="K81" s="181"/>
      <c r="L81" s="178" t="s">
        <v>215</v>
      </c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7"/>
      <c r="AD81" s="7"/>
      <c r="AE81" s="7"/>
      <c r="AF81" s="7"/>
      <c r="AG81" s="7"/>
      <c r="AH81" s="7"/>
      <c r="AI81" s="7"/>
      <c r="AJ81" s="7"/>
      <c r="AK81" s="15"/>
      <c r="AL81" s="7"/>
      <c r="AM81" s="7"/>
      <c r="AN81" s="7"/>
      <c r="AO81" s="7"/>
      <c r="AP81" s="7"/>
      <c r="AQ81" s="7"/>
    </row>
    <row r="82" spans="1:45" ht="15.75" customHeight="1" x14ac:dyDescent="0.5">
      <c r="A82" s="7"/>
      <c r="B82" s="7"/>
      <c r="C82" s="181" t="s">
        <v>207</v>
      </c>
      <c r="D82" s="181"/>
      <c r="E82" s="181"/>
      <c r="F82" s="181"/>
      <c r="G82" s="181"/>
      <c r="H82" s="181"/>
      <c r="I82" s="181"/>
      <c r="J82" s="181"/>
      <c r="K82" s="181"/>
      <c r="L82" s="178" t="s">
        <v>216</v>
      </c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7"/>
      <c r="AD82" s="7"/>
      <c r="AE82" s="7"/>
      <c r="AF82" s="7"/>
      <c r="AG82" s="7"/>
      <c r="AH82" s="7"/>
      <c r="AI82" s="7"/>
      <c r="AJ82" s="7"/>
      <c r="AK82" s="15"/>
      <c r="AL82" s="7"/>
      <c r="AM82" s="7"/>
      <c r="AN82" s="7"/>
      <c r="AO82" s="7"/>
      <c r="AP82" s="7"/>
      <c r="AQ82" s="7"/>
    </row>
    <row r="83" spans="1:45" ht="15.75" customHeight="1" x14ac:dyDescent="0.5">
      <c r="A83" s="7"/>
      <c r="B83" s="7"/>
      <c r="C83" s="12"/>
      <c r="D83" s="12"/>
      <c r="E83" s="12"/>
      <c r="F83" s="12"/>
      <c r="G83" s="12"/>
      <c r="H83" s="12"/>
      <c r="I83" s="12"/>
      <c r="J83" s="12"/>
      <c r="K83" s="12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15"/>
      <c r="AL83" s="7"/>
      <c r="AM83" s="7"/>
      <c r="AN83" s="7"/>
      <c r="AO83" s="7"/>
      <c r="AP83" s="7"/>
      <c r="AQ83" s="7"/>
    </row>
    <row r="84" spans="1:45" ht="15.75" customHeight="1" x14ac:dyDescent="0.5">
      <c r="A84" s="7"/>
      <c r="B84" s="7"/>
      <c r="C84" s="3" t="s">
        <v>136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15"/>
      <c r="AL84" s="16"/>
      <c r="AM84" s="16"/>
      <c r="AN84" s="16"/>
      <c r="AO84" s="16"/>
      <c r="AP84" s="16"/>
      <c r="AQ84" s="16"/>
      <c r="AR84" s="16"/>
      <c r="AS84" s="15"/>
    </row>
    <row r="85" spans="1:45" ht="15.75" customHeight="1" x14ac:dyDescent="0.5">
      <c r="A85" s="7"/>
      <c r="B85" s="7"/>
      <c r="C85" s="179" t="s">
        <v>137</v>
      </c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 t="s">
        <v>133</v>
      </c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9"/>
      <c r="AG85" s="7"/>
      <c r="AH85" s="7"/>
      <c r="AI85" s="7"/>
      <c r="AJ85" s="7"/>
      <c r="AK85" s="15"/>
      <c r="AL85" s="16"/>
      <c r="AM85" s="16"/>
      <c r="AN85" s="16"/>
      <c r="AO85" s="16"/>
      <c r="AP85" s="16"/>
      <c r="AQ85" s="16"/>
      <c r="AR85" s="16"/>
      <c r="AS85" s="13"/>
    </row>
    <row r="86" spans="1:45" ht="15.75" customHeight="1" x14ac:dyDescent="0.5">
      <c r="A86" s="7"/>
      <c r="B86" s="7"/>
      <c r="C86" s="178" t="s">
        <v>217</v>
      </c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 t="s">
        <v>218</v>
      </c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7"/>
      <c r="AH86" s="7"/>
      <c r="AI86" s="7"/>
      <c r="AJ86" s="7"/>
      <c r="AK86" s="15"/>
      <c r="AL86" s="16"/>
      <c r="AM86" s="16"/>
      <c r="AN86" s="16"/>
      <c r="AO86" s="16"/>
      <c r="AP86" s="16"/>
      <c r="AQ86" s="16"/>
      <c r="AR86" s="16"/>
      <c r="AS86" s="13"/>
    </row>
    <row r="87" spans="1:45" ht="15.75" customHeight="1" x14ac:dyDescent="0.5">
      <c r="A87" s="7"/>
      <c r="B87" s="7"/>
      <c r="C87" s="178" t="s">
        <v>219</v>
      </c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 t="s">
        <v>220</v>
      </c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7"/>
      <c r="AH87" s="7"/>
      <c r="AI87" s="7"/>
      <c r="AJ87" s="7"/>
      <c r="AK87" s="15"/>
      <c r="AL87" s="16"/>
      <c r="AM87" s="16"/>
      <c r="AN87" s="16"/>
      <c r="AO87" s="16"/>
      <c r="AP87" s="16"/>
      <c r="AQ87" s="16"/>
      <c r="AR87" s="16"/>
      <c r="AS87" s="13"/>
    </row>
    <row r="88" spans="1:45" ht="15.75" customHeight="1" x14ac:dyDescent="0.5">
      <c r="A88" s="7"/>
      <c r="B88" s="7"/>
      <c r="C88" s="178" t="s">
        <v>221</v>
      </c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 t="s">
        <v>222</v>
      </c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7"/>
      <c r="AH88" s="7"/>
      <c r="AI88" s="7"/>
      <c r="AJ88" s="7"/>
      <c r="AK88" s="15"/>
      <c r="AL88" s="16"/>
      <c r="AM88" s="16"/>
      <c r="AN88" s="16"/>
      <c r="AO88" s="16"/>
      <c r="AP88" s="16"/>
      <c r="AQ88" s="16"/>
      <c r="AR88" s="16"/>
      <c r="AS88" s="13"/>
    </row>
    <row r="89" spans="1:45" ht="15.75" customHeight="1" x14ac:dyDescent="0.5">
      <c r="A89" s="7"/>
      <c r="B89" s="7"/>
      <c r="C89" s="178" t="s">
        <v>223</v>
      </c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 t="s">
        <v>224</v>
      </c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7"/>
      <c r="AH89" s="7"/>
      <c r="AI89" s="7"/>
      <c r="AJ89" s="7"/>
      <c r="AK89" s="15"/>
      <c r="AL89" s="16"/>
      <c r="AM89" s="16"/>
      <c r="AN89" s="16"/>
      <c r="AO89" s="16"/>
      <c r="AP89" s="16"/>
      <c r="AQ89" s="16"/>
      <c r="AR89" s="16"/>
      <c r="AS89" s="13"/>
    </row>
    <row r="90" spans="1:45" ht="15.75" customHeight="1" x14ac:dyDescent="0.5">
      <c r="A90" s="7"/>
      <c r="B90" s="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7"/>
      <c r="AH90" s="7"/>
      <c r="AI90" s="7"/>
      <c r="AJ90" s="7"/>
      <c r="AK90" s="15"/>
      <c r="AL90" s="16"/>
      <c r="AM90" s="16"/>
      <c r="AN90" s="16"/>
      <c r="AO90" s="16"/>
      <c r="AP90" s="16"/>
      <c r="AQ90" s="16"/>
      <c r="AR90" s="16"/>
      <c r="AS90" s="13"/>
    </row>
    <row r="91" spans="1:45" ht="15.75" customHeight="1" x14ac:dyDescent="0.5">
      <c r="A91" s="7"/>
      <c r="B91" s="7"/>
      <c r="C91" s="3" t="s">
        <v>138</v>
      </c>
      <c r="D91" s="9"/>
      <c r="E91" s="10"/>
      <c r="F91" s="1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</row>
    <row r="92" spans="1:45" ht="15.75" customHeight="1" x14ac:dyDescent="0.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</row>
    <row r="93" spans="1:45" ht="15.75" customHeight="1" x14ac:dyDescent="0.5">
      <c r="A93" s="7"/>
      <c r="B93" s="7"/>
      <c r="C93" s="177" t="s">
        <v>225</v>
      </c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 spans="1:45" ht="15.75" customHeight="1" x14ac:dyDescent="0.5">
      <c r="A94" s="7"/>
      <c r="B94" s="7"/>
      <c r="C94" s="177" t="s">
        <v>226</v>
      </c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</row>
    <row r="95" spans="1:45" ht="15.75" customHeight="1" x14ac:dyDescent="0.5">
      <c r="A95" s="7"/>
      <c r="B95" s="7"/>
      <c r="C95" s="177" t="s">
        <v>227</v>
      </c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</row>
    <row r="96" spans="1:45" ht="15.75" customHeight="1" x14ac:dyDescent="0.5">
      <c r="A96" s="7"/>
      <c r="B96" s="7"/>
      <c r="C96" s="177" t="s">
        <v>228</v>
      </c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</row>
    <row r="97" spans="1:43" ht="15.75" customHeight="1" x14ac:dyDescent="0.5">
      <c r="A97" s="7"/>
      <c r="B97" s="7"/>
      <c r="C97" s="177" t="s">
        <v>229</v>
      </c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</row>
    <row r="98" spans="1:43" ht="15.75" customHeight="1" x14ac:dyDescent="0.5">
      <c r="A98" s="7"/>
      <c r="B98" s="7"/>
      <c r="C98" s="177" t="s">
        <v>230</v>
      </c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</row>
    <row r="99" spans="1:43" ht="15.75" customHeight="1" x14ac:dyDescent="0.5">
      <c r="A99" s="7"/>
      <c r="B99" s="7"/>
      <c r="C99" s="177" t="s">
        <v>231</v>
      </c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</row>
    <row r="100" spans="1:43" ht="15.75" customHeight="1" x14ac:dyDescent="0.5">
      <c r="A100" s="7"/>
      <c r="B100" s="7"/>
      <c r="C100" s="177" t="s">
        <v>232</v>
      </c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</row>
    <row r="101" spans="1:43" ht="15.75" customHeight="1" x14ac:dyDescent="0.5">
      <c r="A101" s="7"/>
      <c r="B101" s="7"/>
      <c r="C101" s="177" t="s">
        <v>233</v>
      </c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7"/>
      <c r="AH101" s="7"/>
      <c r="AI101" s="7"/>
      <c r="AJ101" s="7"/>
      <c r="AL101" s="7"/>
      <c r="AM101" s="7"/>
      <c r="AN101" s="7"/>
      <c r="AO101" s="7"/>
      <c r="AP101" s="7"/>
      <c r="AQ101" s="7"/>
    </row>
    <row r="102" spans="1:43" ht="15.75" customHeight="1" x14ac:dyDescent="0.5">
      <c r="A102" s="7"/>
      <c r="B102" s="7"/>
      <c r="C102" s="177" t="s">
        <v>234</v>
      </c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7"/>
      <c r="AH102" s="7"/>
      <c r="AI102" s="7"/>
      <c r="AJ102" s="7"/>
      <c r="AL102" s="7"/>
      <c r="AM102" s="7"/>
      <c r="AN102" s="7"/>
      <c r="AO102" s="7"/>
      <c r="AP102" s="7"/>
      <c r="AQ102" s="7"/>
    </row>
    <row r="103" spans="1:43" ht="15.75" customHeight="1" x14ac:dyDescent="0.5">
      <c r="A103" s="7"/>
      <c r="B103" s="7"/>
      <c r="C103" s="177" t="s">
        <v>235</v>
      </c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7"/>
      <c r="AH103" s="7"/>
      <c r="AI103" s="7"/>
      <c r="AJ103" s="7"/>
      <c r="AL103" s="7"/>
      <c r="AM103" s="7"/>
      <c r="AN103" s="7"/>
      <c r="AO103" s="7"/>
      <c r="AP103" s="7"/>
      <c r="AQ103" s="7"/>
    </row>
    <row r="104" spans="1:43" ht="15.75" customHeight="1" x14ac:dyDescent="0.5">
      <c r="A104" s="7"/>
      <c r="B104" s="7"/>
      <c r="C104" s="177" t="s">
        <v>236</v>
      </c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7"/>
      <c r="AH104" s="7"/>
      <c r="AI104" s="7"/>
      <c r="AJ104" s="7"/>
      <c r="AL104" s="7"/>
      <c r="AM104" s="7"/>
      <c r="AN104" s="7"/>
      <c r="AO104" s="7"/>
      <c r="AP104" s="7"/>
      <c r="AQ104" s="7"/>
    </row>
    <row r="105" spans="1:43" ht="15.75" customHeight="1" x14ac:dyDescent="0.5">
      <c r="A105" s="7"/>
      <c r="B105" s="7"/>
      <c r="C105" s="177" t="s">
        <v>237</v>
      </c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7"/>
      <c r="AH105" s="7"/>
      <c r="AI105" s="7"/>
      <c r="AJ105" s="7"/>
      <c r="AL105" s="7"/>
      <c r="AM105" s="7"/>
      <c r="AN105" s="7"/>
      <c r="AO105" s="7"/>
      <c r="AP105" s="7"/>
      <c r="AQ105" s="7"/>
    </row>
    <row r="106" spans="1:43" ht="15.75" customHeight="1" x14ac:dyDescent="0.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43" ht="15.75" customHeight="1" x14ac:dyDescent="0.5"/>
    <row r="108" spans="1:43" ht="15.75" customHeight="1" x14ac:dyDescent="0.5"/>
    <row r="109" spans="1:43" ht="15.75" customHeight="1" x14ac:dyDescent="0.5"/>
    <row r="110" spans="1:43" ht="15.75" customHeight="1" x14ac:dyDescent="0.5">
      <c r="C110" s="11"/>
    </row>
    <row r="111" spans="1:43" ht="15.75" customHeight="1" x14ac:dyDescent="0.5">
      <c r="C111" s="11"/>
    </row>
    <row r="112" spans="1:43" ht="15.75" customHeight="1" x14ac:dyDescent="0.5">
      <c r="C112" s="11"/>
    </row>
    <row r="113" ht="15.75" customHeight="1" x14ac:dyDescent="0.5"/>
    <row r="114" ht="15.75" customHeight="1" x14ac:dyDescent="0.5"/>
    <row r="115" ht="15.75" customHeight="1" x14ac:dyDescent="0.5"/>
    <row r="116" ht="15.75" customHeight="1" x14ac:dyDescent="0.5"/>
    <row r="117" ht="15.75" customHeight="1" x14ac:dyDescent="0.5"/>
    <row r="118" ht="15.75" customHeight="1" x14ac:dyDescent="0.5"/>
    <row r="119" ht="15.75" customHeight="1" x14ac:dyDescent="0.5"/>
    <row r="120" ht="15.75" customHeight="1" x14ac:dyDescent="0.5"/>
    <row r="121" ht="15.75" customHeight="1" x14ac:dyDescent="0.5"/>
    <row r="122" ht="15.75" customHeight="1" x14ac:dyDescent="0.5"/>
    <row r="123" ht="15.75" customHeight="1" x14ac:dyDescent="0.5"/>
    <row r="124" ht="15.75" customHeight="1" x14ac:dyDescent="0.5"/>
    <row r="125" ht="15.75" customHeight="1" x14ac:dyDescent="0.5"/>
    <row r="126" ht="15.75" customHeight="1" x14ac:dyDescent="0.5"/>
    <row r="127" ht="15.75" customHeight="1" x14ac:dyDescent="0.5"/>
    <row r="128" ht="15.75" customHeight="1" x14ac:dyDescent="0.5"/>
    <row r="129" ht="15.75" customHeight="1" x14ac:dyDescent="0.5"/>
    <row r="130" ht="15.75" customHeight="1" x14ac:dyDescent="0.5"/>
    <row r="131" ht="15.75" customHeight="1" x14ac:dyDescent="0.5"/>
    <row r="132" ht="15.75" customHeight="1" x14ac:dyDescent="0.5"/>
    <row r="133" ht="15.75" customHeight="1" x14ac:dyDescent="0.5"/>
    <row r="134" ht="15.75" customHeight="1" x14ac:dyDescent="0.5"/>
    <row r="135" ht="15.75" customHeight="1" x14ac:dyDescent="0.5"/>
    <row r="136" ht="15.75" customHeight="1" x14ac:dyDescent="0.5"/>
    <row r="137" ht="15.75" customHeight="1" x14ac:dyDescent="0.5"/>
    <row r="138" ht="15.75" customHeight="1" x14ac:dyDescent="0.5"/>
    <row r="139" ht="15.75" customHeight="1" x14ac:dyDescent="0.5"/>
    <row r="140" ht="15.75" customHeight="1" x14ac:dyDescent="0.5"/>
    <row r="141" ht="15.75" customHeight="1" x14ac:dyDescent="0.5"/>
    <row r="142" ht="15.75" customHeight="1" x14ac:dyDescent="0.5"/>
    <row r="143" ht="15.75" customHeight="1" x14ac:dyDescent="0.5"/>
    <row r="144" ht="15.75" customHeight="1" x14ac:dyDescent="0.5"/>
    <row r="145" ht="15.75" customHeight="1" x14ac:dyDescent="0.5"/>
    <row r="146" ht="15.75" customHeight="1" x14ac:dyDescent="0.5"/>
    <row r="147" ht="15.75" customHeight="1" x14ac:dyDescent="0.5"/>
    <row r="148" ht="15.75" customHeight="1" x14ac:dyDescent="0.5"/>
    <row r="149" ht="15.75" customHeight="1" x14ac:dyDescent="0.5"/>
    <row r="150" ht="15.75" customHeight="1" x14ac:dyDescent="0.5"/>
    <row r="151" ht="15.75" customHeight="1" x14ac:dyDescent="0.5"/>
    <row r="152" ht="15.75" customHeight="1" x14ac:dyDescent="0.5"/>
    <row r="153" ht="15.75" customHeight="1" x14ac:dyDescent="0.5"/>
    <row r="154" ht="15.75" customHeight="1" x14ac:dyDescent="0.5"/>
    <row r="155" ht="15.75" customHeight="1" x14ac:dyDescent="0.5"/>
    <row r="156" ht="15.75" customHeight="1" x14ac:dyDescent="0.5"/>
    <row r="157" ht="15.75" customHeight="1" x14ac:dyDescent="0.5"/>
    <row r="158" ht="15.75" customHeight="1" x14ac:dyDescent="0.5"/>
    <row r="159" ht="15.75" customHeight="1" x14ac:dyDescent="0.5"/>
    <row r="160" ht="15.75" customHeight="1" x14ac:dyDescent="0.5"/>
    <row r="161" ht="15.75" customHeight="1" x14ac:dyDescent="0.5"/>
    <row r="162" ht="15.75" customHeight="1" x14ac:dyDescent="0.5"/>
    <row r="163" ht="15.75" customHeight="1" x14ac:dyDescent="0.5"/>
    <row r="164" ht="15.75" customHeight="1" x14ac:dyDescent="0.5"/>
    <row r="165" ht="15.75" customHeight="1" x14ac:dyDescent="0.5"/>
    <row r="166" ht="15.75" customHeight="1" x14ac:dyDescent="0.5"/>
    <row r="167" ht="15.75" customHeight="1" x14ac:dyDescent="0.5"/>
    <row r="168" ht="15.75" customHeight="1" x14ac:dyDescent="0.5"/>
    <row r="169" ht="15.75" customHeight="1" x14ac:dyDescent="0.5"/>
    <row r="170" ht="15.75" customHeight="1" x14ac:dyDescent="0.5"/>
    <row r="171" ht="15.75" customHeight="1" x14ac:dyDescent="0.5"/>
    <row r="172" ht="15.75" customHeight="1" x14ac:dyDescent="0.5"/>
    <row r="173" ht="15.75" customHeight="1" x14ac:dyDescent="0.5"/>
    <row r="174" ht="15.75" customHeight="1" x14ac:dyDescent="0.5"/>
    <row r="175" ht="15.75" customHeight="1" x14ac:dyDescent="0.5"/>
    <row r="176" ht="15.75" customHeight="1" x14ac:dyDescent="0.5"/>
    <row r="177" ht="15.75" customHeight="1" x14ac:dyDescent="0.5"/>
    <row r="178" ht="15.75" customHeight="1" x14ac:dyDescent="0.5"/>
    <row r="179" ht="15.75" customHeight="1" x14ac:dyDescent="0.5"/>
    <row r="180" ht="15.75" customHeight="1" x14ac:dyDescent="0.5"/>
    <row r="181" ht="15.75" customHeight="1" x14ac:dyDescent="0.5"/>
    <row r="182" ht="15.75" customHeight="1" x14ac:dyDescent="0.5"/>
    <row r="183" ht="15.75" customHeight="1" x14ac:dyDescent="0.5"/>
    <row r="184" ht="15.75" customHeight="1" x14ac:dyDescent="0.5"/>
    <row r="185" ht="15.75" customHeight="1" x14ac:dyDescent="0.5"/>
    <row r="186" ht="15.75" customHeight="1" x14ac:dyDescent="0.5"/>
    <row r="187" ht="15.75" customHeight="1" x14ac:dyDescent="0.5"/>
    <row r="188" ht="15.75" customHeight="1" x14ac:dyDescent="0.5"/>
    <row r="189" ht="15.75" customHeight="1" x14ac:dyDescent="0.5"/>
    <row r="190" ht="15.75" customHeight="1" x14ac:dyDescent="0.5"/>
    <row r="191" ht="15.75" customHeight="1" x14ac:dyDescent="0.5"/>
    <row r="192" ht="15.75" customHeight="1" x14ac:dyDescent="0.5"/>
    <row r="193" ht="15.75" customHeight="1" x14ac:dyDescent="0.5"/>
    <row r="194" ht="15.75" customHeight="1" x14ac:dyDescent="0.5"/>
    <row r="195" ht="15.75" customHeight="1" x14ac:dyDescent="0.5"/>
    <row r="196" ht="15.75" customHeight="1" x14ac:dyDescent="0.5"/>
    <row r="197" ht="15.75" customHeight="1" x14ac:dyDescent="0.5"/>
    <row r="198" ht="15.75" customHeight="1" x14ac:dyDescent="0.5"/>
    <row r="199" ht="15.75" customHeight="1" x14ac:dyDescent="0.5"/>
    <row r="200" ht="15.75" customHeight="1" x14ac:dyDescent="0.5"/>
    <row r="201" ht="15.75" customHeight="1" x14ac:dyDescent="0.5"/>
    <row r="202" ht="15.75" customHeight="1" x14ac:dyDescent="0.5"/>
    <row r="203" ht="15.75" customHeight="1" x14ac:dyDescent="0.5"/>
    <row r="204" ht="15.75" customHeight="1" x14ac:dyDescent="0.5"/>
    <row r="205" ht="15.75" customHeight="1" x14ac:dyDescent="0.5"/>
    <row r="206" ht="15.75" customHeight="1" x14ac:dyDescent="0.5"/>
    <row r="207" ht="15.75" customHeight="1" x14ac:dyDescent="0.5"/>
    <row r="208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</sheetData>
  <mergeCells count="70">
    <mergeCell ref="AK1:AT3"/>
    <mergeCell ref="O3:U3"/>
    <mergeCell ref="D1:J3"/>
    <mergeCell ref="C61:N61"/>
    <mergeCell ref="O61:AF61"/>
    <mergeCell ref="A1:C3"/>
    <mergeCell ref="K1:N3"/>
    <mergeCell ref="O1:U2"/>
    <mergeCell ref="V1:Y3"/>
    <mergeCell ref="Z1:AJ3"/>
    <mergeCell ref="C62:N62"/>
    <mergeCell ref="O62:AF62"/>
    <mergeCell ref="C63:N63"/>
    <mergeCell ref="O63:AF63"/>
    <mergeCell ref="C64:N64"/>
    <mergeCell ref="O64:AF64"/>
    <mergeCell ref="C65:N65"/>
    <mergeCell ref="O65:AF65"/>
    <mergeCell ref="C66:N66"/>
    <mergeCell ref="O66:AF66"/>
    <mergeCell ref="O67:AF67"/>
    <mergeCell ref="L78:AB78"/>
    <mergeCell ref="C67:N67"/>
    <mergeCell ref="C69:N69"/>
    <mergeCell ref="C68:N68"/>
    <mergeCell ref="C73:K73"/>
    <mergeCell ref="C74:K74"/>
    <mergeCell ref="O68:AF68"/>
    <mergeCell ref="C75:K75"/>
    <mergeCell ref="C76:K76"/>
    <mergeCell ref="O69:AF69"/>
    <mergeCell ref="C77:K77"/>
    <mergeCell ref="L73:AB73"/>
    <mergeCell ref="L74:AB74"/>
    <mergeCell ref="L75:AB75"/>
    <mergeCell ref="L76:AB76"/>
    <mergeCell ref="L77:AB77"/>
    <mergeCell ref="C78:K78"/>
    <mergeCell ref="C79:K79"/>
    <mergeCell ref="C80:K80"/>
    <mergeCell ref="C81:K81"/>
    <mergeCell ref="C82:K82"/>
    <mergeCell ref="C88:N88"/>
    <mergeCell ref="O88:AF88"/>
    <mergeCell ref="L83:U83"/>
    <mergeCell ref="L79:AB79"/>
    <mergeCell ref="L80:AB80"/>
    <mergeCell ref="L81:AB81"/>
    <mergeCell ref="L82:AB82"/>
    <mergeCell ref="C85:N85"/>
    <mergeCell ref="O85:AF85"/>
    <mergeCell ref="C86:N86"/>
    <mergeCell ref="O86:AF86"/>
    <mergeCell ref="C87:N87"/>
    <mergeCell ref="O87:AF87"/>
    <mergeCell ref="C89:N89"/>
    <mergeCell ref="O89:AF89"/>
    <mergeCell ref="C93:AF93"/>
    <mergeCell ref="C94:AF94"/>
    <mergeCell ref="C95:AF95"/>
    <mergeCell ref="C96:AF96"/>
    <mergeCell ref="C97:AF97"/>
    <mergeCell ref="C98:AF98"/>
    <mergeCell ref="C99:AF99"/>
    <mergeCell ref="C100:AF100"/>
    <mergeCell ref="C101:AF101"/>
    <mergeCell ref="C102:AF102"/>
    <mergeCell ref="C103:AF103"/>
    <mergeCell ref="C104:AF104"/>
    <mergeCell ref="C105:AF10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5EC3-45C6-46E8-94B3-E9EE52BC1EB8}">
  <dimension ref="A1:BR1031"/>
  <sheetViews>
    <sheetView showGridLines="0" topLeftCell="A18" zoomScale="65" zoomScaleNormal="100" workbookViewId="0">
      <selection activeCell="P26" sqref="P26"/>
    </sheetView>
  </sheetViews>
  <sheetFormatPr defaultColWidth="14.3984375" defaultRowHeight="15" customHeight="1" x14ac:dyDescent="0.45"/>
  <cols>
    <col min="1" max="1" width="4.1328125" style="51" customWidth="1"/>
    <col min="2" max="2" width="80" style="51" customWidth="1"/>
    <col min="3" max="3" width="4.1328125" style="51" customWidth="1"/>
    <col min="4" max="4" width="4" style="51" customWidth="1"/>
    <col min="5" max="70" width="4.1328125" style="51" customWidth="1"/>
    <col min="71" max="16384" width="14.3984375" style="51"/>
  </cols>
  <sheetData>
    <row r="1" spans="1:70" ht="19.5" customHeight="1" x14ac:dyDescent="0.45">
      <c r="A1" s="49" t="s">
        <v>314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50"/>
      <c r="BK1" s="50"/>
      <c r="BL1" s="50"/>
      <c r="BM1" s="50"/>
      <c r="BN1" s="50"/>
      <c r="BO1" s="50"/>
      <c r="BP1" s="50"/>
      <c r="BQ1" s="50"/>
      <c r="BR1" s="50"/>
    </row>
    <row r="2" spans="1:70" ht="19.5" customHeight="1" x14ac:dyDescent="0.75">
      <c r="A2" s="49"/>
      <c r="B2" s="52" t="s">
        <v>24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 t="s">
        <v>315</v>
      </c>
      <c r="AR2" s="55"/>
      <c r="AS2" s="55"/>
      <c r="AT2" s="55"/>
      <c r="AU2" s="55"/>
      <c r="AV2" s="56" t="s">
        <v>141</v>
      </c>
      <c r="AW2" s="55"/>
      <c r="AX2" s="55"/>
      <c r="AY2" s="55" t="s">
        <v>316</v>
      </c>
      <c r="AZ2" s="55"/>
      <c r="BA2" s="57"/>
      <c r="BB2" s="55"/>
      <c r="BC2" s="55"/>
      <c r="BD2" s="58">
        <v>46122</v>
      </c>
      <c r="BE2" s="59"/>
      <c r="BF2" s="59"/>
      <c r="BG2" s="60"/>
      <c r="BH2" s="61"/>
      <c r="BI2" s="61"/>
      <c r="BJ2" s="62"/>
      <c r="BK2" s="62"/>
      <c r="BL2" s="62"/>
      <c r="BM2" s="62"/>
      <c r="BN2" s="62"/>
      <c r="BO2" s="62"/>
      <c r="BP2" s="62"/>
      <c r="BQ2" s="62"/>
      <c r="BR2" s="62"/>
    </row>
    <row r="3" spans="1:70" ht="19.5" customHeight="1" x14ac:dyDescent="0.75">
      <c r="A3" s="49"/>
      <c r="B3" s="63" t="s">
        <v>317</v>
      </c>
      <c r="C3" s="64"/>
      <c r="D3" s="64"/>
      <c r="E3" s="65"/>
      <c r="F3" s="66" t="str">
        <f>[1]Cover!N12</f>
        <v>ZPG_UPLOAD_SO / ZPG_SO_ALV_EDIT</v>
      </c>
      <c r="G3" s="67"/>
      <c r="H3" s="66"/>
      <c r="I3" s="66"/>
      <c r="J3" s="66"/>
      <c r="K3" s="66"/>
      <c r="L3" s="66"/>
      <c r="M3" s="66"/>
      <c r="N3" s="66"/>
      <c r="O3" s="66"/>
      <c r="P3" s="63" t="s">
        <v>318</v>
      </c>
      <c r="Q3" s="68"/>
      <c r="R3" s="64"/>
      <c r="S3" s="64"/>
      <c r="T3" s="69"/>
      <c r="U3" s="70" t="str">
        <f>[1]Cover!N13</f>
        <v>Upload Sales Order from Excel &amp; ALV Review</v>
      </c>
      <c r="V3" s="67"/>
      <c r="W3" s="66"/>
      <c r="X3" s="71"/>
      <c r="Y3" s="71"/>
      <c r="Z3" s="71"/>
      <c r="AA3" s="66"/>
      <c r="AB3" s="66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3" t="s">
        <v>319</v>
      </c>
      <c r="AR3" s="49"/>
      <c r="AS3" s="49"/>
      <c r="AT3" s="49"/>
      <c r="AU3" s="49"/>
      <c r="AV3" s="74" t="s">
        <v>141</v>
      </c>
      <c r="AW3" s="49"/>
      <c r="AX3" s="49"/>
      <c r="AY3" s="49" t="s">
        <v>320</v>
      </c>
      <c r="AZ3" s="49"/>
      <c r="BA3" s="75"/>
      <c r="BB3" s="49"/>
      <c r="BC3" s="49"/>
      <c r="BD3" s="76">
        <v>46133</v>
      </c>
      <c r="BG3" s="77"/>
      <c r="BH3" s="61"/>
      <c r="BI3" s="61"/>
      <c r="BJ3" s="62"/>
      <c r="BK3" s="62"/>
      <c r="BL3" s="62"/>
      <c r="BM3" s="62"/>
      <c r="BN3" s="62"/>
      <c r="BO3" s="62"/>
      <c r="BP3" s="62"/>
      <c r="BQ3" s="62"/>
      <c r="BR3" s="62"/>
    </row>
    <row r="4" spans="1:70" ht="19.5" customHeight="1" x14ac:dyDescent="0.75">
      <c r="A4" s="49"/>
      <c r="B4" s="7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79"/>
      <c r="AR4" s="80"/>
      <c r="AS4" s="80"/>
      <c r="AT4" s="80"/>
      <c r="AU4" s="80"/>
      <c r="AV4" s="81"/>
      <c r="AW4" s="80"/>
      <c r="AX4" s="80"/>
      <c r="AY4" s="80"/>
      <c r="AZ4" s="80"/>
      <c r="BA4" s="82"/>
      <c r="BB4" s="82"/>
      <c r="BC4" s="82"/>
      <c r="BD4" s="83"/>
      <c r="BE4" s="84"/>
      <c r="BF4" s="84"/>
      <c r="BG4" s="85"/>
      <c r="BH4" s="61"/>
      <c r="BI4" s="61"/>
      <c r="BJ4" s="62"/>
      <c r="BK4" s="62"/>
      <c r="BL4" s="62"/>
      <c r="BM4" s="62"/>
      <c r="BN4" s="62"/>
      <c r="BO4" s="62"/>
      <c r="BP4" s="62"/>
      <c r="BQ4" s="62"/>
      <c r="BR4" s="62"/>
    </row>
    <row r="5" spans="1:70" ht="19.5" customHeight="1" x14ac:dyDescent="0.8">
      <c r="A5" s="86"/>
      <c r="B5" s="87" t="s">
        <v>321</v>
      </c>
      <c r="C5" s="88"/>
      <c r="D5" s="88"/>
      <c r="E5" s="89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1"/>
      <c r="S5" s="90"/>
      <c r="T5" s="90"/>
      <c r="U5" s="90"/>
      <c r="V5" s="90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3"/>
      <c r="BH5" s="86"/>
      <c r="BI5" s="86"/>
      <c r="BJ5" s="94"/>
      <c r="BK5" s="94"/>
      <c r="BL5" s="94"/>
      <c r="BM5" s="94"/>
      <c r="BN5" s="94"/>
      <c r="BO5" s="94"/>
      <c r="BP5" s="94"/>
      <c r="BQ5" s="94"/>
      <c r="BR5" s="94"/>
    </row>
    <row r="6" spans="1:70" ht="19.5" customHeight="1" x14ac:dyDescent="0.45">
      <c r="A6" s="49"/>
      <c r="B6" s="95"/>
      <c r="C6" s="96"/>
      <c r="D6" s="49"/>
      <c r="E6" s="49"/>
      <c r="F6" s="49"/>
      <c r="G6" s="49"/>
      <c r="H6" s="49"/>
      <c r="I6" s="97"/>
      <c r="J6" s="98"/>
      <c r="K6" s="74"/>
      <c r="L6" s="74"/>
      <c r="M6" s="74"/>
      <c r="N6" s="97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99"/>
      <c r="BH6" s="49"/>
      <c r="BI6" s="49"/>
      <c r="BJ6" s="100"/>
      <c r="BK6" s="100"/>
      <c r="BL6" s="100"/>
      <c r="BM6" s="100"/>
      <c r="BN6" s="100"/>
      <c r="BO6" s="100"/>
      <c r="BP6" s="100"/>
      <c r="BQ6" s="100"/>
      <c r="BR6" s="100"/>
    </row>
    <row r="7" spans="1:70" ht="19.5" customHeight="1" x14ac:dyDescent="0.45">
      <c r="A7" s="49"/>
      <c r="B7" s="101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99"/>
      <c r="BH7" s="49"/>
      <c r="BI7" s="49"/>
      <c r="BJ7" s="100"/>
      <c r="BK7" s="100"/>
      <c r="BL7" s="100"/>
      <c r="BM7" s="100"/>
      <c r="BN7" s="100"/>
      <c r="BO7" s="100"/>
      <c r="BP7" s="100"/>
      <c r="BQ7" s="100"/>
      <c r="BR7" s="100"/>
    </row>
    <row r="8" spans="1:70" ht="19.5" customHeight="1" x14ac:dyDescent="0.45">
      <c r="A8" s="49"/>
      <c r="B8" s="101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99"/>
      <c r="BH8" s="49"/>
      <c r="BI8" s="49"/>
      <c r="BJ8" s="100"/>
      <c r="BK8" s="100"/>
      <c r="BL8" s="100"/>
      <c r="BM8" s="100"/>
      <c r="BN8" s="100"/>
      <c r="BO8" s="100"/>
      <c r="BP8" s="100"/>
      <c r="BQ8" s="100"/>
      <c r="BR8" s="100"/>
    </row>
    <row r="9" spans="1:70" ht="19.5" customHeight="1" x14ac:dyDescent="0.45">
      <c r="A9" s="49"/>
      <c r="B9" s="101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99"/>
      <c r="BH9" s="49"/>
      <c r="BI9" s="49"/>
      <c r="BJ9" s="100"/>
      <c r="BK9" s="100"/>
      <c r="BL9" s="100"/>
      <c r="BM9" s="100"/>
      <c r="BN9" s="100"/>
      <c r="BO9" s="100"/>
      <c r="BP9" s="100"/>
      <c r="BQ9" s="100"/>
      <c r="BR9" s="100"/>
    </row>
    <row r="10" spans="1:70" ht="19.5" customHeight="1" x14ac:dyDescent="0.45">
      <c r="A10" s="49"/>
      <c r="B10" s="101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99"/>
      <c r="BH10" s="49"/>
      <c r="BI10" s="49"/>
      <c r="BJ10" s="100"/>
      <c r="BK10" s="100"/>
      <c r="BL10" s="100"/>
      <c r="BM10" s="100"/>
      <c r="BN10" s="100"/>
      <c r="BO10" s="100"/>
      <c r="BP10" s="100"/>
      <c r="BQ10" s="100"/>
      <c r="BR10" s="100"/>
    </row>
    <row r="11" spans="1:70" ht="19.5" customHeight="1" x14ac:dyDescent="0.45">
      <c r="A11" s="49"/>
      <c r="B11" s="101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99"/>
      <c r="BH11" s="49"/>
      <c r="BI11" s="49"/>
      <c r="BJ11" s="100"/>
      <c r="BK11" s="100"/>
      <c r="BL11" s="100"/>
      <c r="BM11" s="100"/>
      <c r="BN11" s="100"/>
      <c r="BO11" s="100"/>
      <c r="BP11" s="100"/>
      <c r="BQ11" s="100"/>
      <c r="BR11" s="100"/>
    </row>
    <row r="12" spans="1:70" ht="19.5" customHeight="1" x14ac:dyDescent="0.45">
      <c r="A12" s="49"/>
      <c r="B12" s="101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99"/>
      <c r="BH12" s="49"/>
      <c r="BI12" s="49"/>
      <c r="BJ12" s="100"/>
      <c r="BK12" s="100"/>
      <c r="BL12" s="100"/>
      <c r="BM12" s="100"/>
      <c r="BN12" s="100"/>
      <c r="BO12" s="100"/>
      <c r="BP12" s="100"/>
      <c r="BQ12" s="100"/>
      <c r="BR12" s="100"/>
    </row>
    <row r="13" spans="1:70" ht="19.5" customHeight="1" x14ac:dyDescent="0.45">
      <c r="A13" s="49"/>
      <c r="B13" s="101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99"/>
      <c r="BH13" s="49"/>
      <c r="BI13" s="49"/>
      <c r="BJ13" s="100"/>
      <c r="BK13" s="100"/>
      <c r="BL13" s="100"/>
      <c r="BM13" s="100"/>
      <c r="BN13" s="100"/>
      <c r="BO13" s="100"/>
      <c r="BP13" s="100"/>
      <c r="BQ13" s="100"/>
      <c r="BR13" s="100"/>
    </row>
    <row r="14" spans="1:70" ht="19.5" customHeight="1" x14ac:dyDescent="0.45">
      <c r="A14" s="49"/>
      <c r="B14" s="101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99"/>
      <c r="BH14" s="49"/>
      <c r="BI14" s="49"/>
      <c r="BJ14" s="100"/>
      <c r="BK14" s="100"/>
      <c r="BL14" s="100"/>
      <c r="BM14" s="100"/>
      <c r="BN14" s="100"/>
      <c r="BO14" s="100"/>
      <c r="BP14" s="100"/>
      <c r="BQ14" s="100"/>
      <c r="BR14" s="100"/>
    </row>
    <row r="15" spans="1:70" ht="19.5" customHeight="1" x14ac:dyDescent="0.45">
      <c r="A15" s="49"/>
      <c r="B15" s="101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99"/>
      <c r="BH15" s="49"/>
      <c r="BI15" s="49"/>
      <c r="BJ15" s="100"/>
      <c r="BK15" s="100"/>
      <c r="BL15" s="100"/>
      <c r="BM15" s="100"/>
      <c r="BN15" s="100"/>
      <c r="BO15" s="100"/>
      <c r="BP15" s="100"/>
      <c r="BQ15" s="100"/>
      <c r="BR15" s="100"/>
    </row>
    <row r="16" spans="1:70" ht="19.5" customHeight="1" x14ac:dyDescent="0.45">
      <c r="A16" s="49"/>
      <c r="B16" s="101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99"/>
      <c r="BH16" s="49"/>
      <c r="BI16" s="49"/>
      <c r="BJ16" s="100"/>
      <c r="BK16" s="100"/>
      <c r="BL16" s="100"/>
      <c r="BM16" s="100"/>
      <c r="BN16" s="100"/>
      <c r="BO16" s="100"/>
      <c r="BP16" s="100"/>
      <c r="BQ16" s="100"/>
      <c r="BR16" s="100"/>
    </row>
    <row r="17" spans="1:70" ht="19.5" customHeight="1" x14ac:dyDescent="0.45">
      <c r="A17" s="49"/>
      <c r="B17" s="101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99"/>
      <c r="BH17" s="49"/>
      <c r="BI17" s="49"/>
      <c r="BJ17" s="100"/>
      <c r="BK17" s="100"/>
      <c r="BL17" s="100"/>
      <c r="BM17" s="100"/>
      <c r="BN17" s="100"/>
      <c r="BO17" s="100"/>
      <c r="BP17" s="100"/>
      <c r="BQ17" s="100"/>
      <c r="BR17" s="100"/>
    </row>
    <row r="18" spans="1:70" ht="19.5" customHeight="1" x14ac:dyDescent="0.45">
      <c r="A18" s="49"/>
      <c r="B18" s="101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99"/>
      <c r="BH18" s="49"/>
      <c r="BI18" s="49"/>
      <c r="BJ18" s="100"/>
      <c r="BK18" s="100"/>
      <c r="BL18" s="100"/>
      <c r="BM18" s="100"/>
      <c r="BN18" s="100"/>
      <c r="BO18" s="100"/>
      <c r="BP18" s="100"/>
      <c r="BQ18" s="100"/>
      <c r="BR18" s="100"/>
    </row>
    <row r="19" spans="1:70" ht="19.5" customHeight="1" x14ac:dyDescent="0.45">
      <c r="A19" s="49"/>
      <c r="B19" s="101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99"/>
      <c r="BH19" s="49"/>
      <c r="BI19" s="49"/>
      <c r="BJ19" s="100"/>
      <c r="BK19" s="100"/>
      <c r="BL19" s="100"/>
      <c r="BM19" s="100"/>
      <c r="BN19" s="100"/>
      <c r="BO19" s="100"/>
      <c r="BP19" s="100"/>
      <c r="BQ19" s="100"/>
      <c r="BR19" s="100"/>
    </row>
    <row r="20" spans="1:70" ht="19.5" customHeight="1" x14ac:dyDescent="0.45">
      <c r="A20" s="49"/>
      <c r="B20" s="101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99"/>
      <c r="BH20" s="49"/>
      <c r="BI20" s="49"/>
      <c r="BJ20" s="100"/>
      <c r="BK20" s="100"/>
      <c r="BL20" s="100"/>
      <c r="BM20" s="100"/>
      <c r="BN20" s="100"/>
      <c r="BO20" s="100"/>
      <c r="BP20" s="100"/>
      <c r="BQ20" s="100"/>
      <c r="BR20" s="100"/>
    </row>
    <row r="21" spans="1:70" ht="19.5" customHeight="1" x14ac:dyDescent="0.45">
      <c r="A21" s="49"/>
      <c r="B21" s="101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99"/>
      <c r="BH21" s="49"/>
      <c r="BI21" s="49"/>
      <c r="BJ21" s="100"/>
      <c r="BK21" s="100"/>
      <c r="BL21" s="100"/>
      <c r="BM21" s="100"/>
      <c r="BN21" s="100"/>
      <c r="BO21" s="100"/>
      <c r="BP21" s="100"/>
      <c r="BQ21" s="100"/>
      <c r="BR21" s="100"/>
    </row>
    <row r="22" spans="1:70" ht="19.5" customHeight="1" x14ac:dyDescent="0.45">
      <c r="A22" s="49"/>
      <c r="B22" s="101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99"/>
      <c r="BH22" s="49"/>
      <c r="BI22" s="49"/>
      <c r="BJ22" s="100"/>
      <c r="BK22" s="100"/>
      <c r="BL22" s="100"/>
      <c r="BM22" s="100"/>
      <c r="BN22" s="100"/>
      <c r="BO22" s="100"/>
      <c r="BP22" s="100"/>
      <c r="BQ22" s="100"/>
      <c r="BR22" s="100"/>
    </row>
    <row r="23" spans="1:70" ht="19.5" customHeight="1" x14ac:dyDescent="0.45">
      <c r="A23" s="49"/>
      <c r="B23" s="101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99"/>
      <c r="BH23" s="49"/>
      <c r="BI23" s="49"/>
      <c r="BJ23" s="100"/>
      <c r="BK23" s="100"/>
      <c r="BL23" s="100"/>
      <c r="BM23" s="100"/>
      <c r="BN23" s="100"/>
      <c r="BO23" s="100"/>
      <c r="BP23" s="100"/>
      <c r="BQ23" s="100"/>
      <c r="BR23" s="100"/>
    </row>
    <row r="24" spans="1:70" ht="19.5" customHeight="1" x14ac:dyDescent="0.45">
      <c r="A24" s="49"/>
      <c r="B24" s="101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99"/>
      <c r="BH24" s="49"/>
      <c r="BI24" s="49"/>
      <c r="BJ24" s="100"/>
      <c r="BK24" s="100"/>
      <c r="BL24" s="100"/>
      <c r="BM24" s="100"/>
      <c r="BN24" s="100"/>
      <c r="BO24" s="100"/>
      <c r="BP24" s="100"/>
      <c r="BQ24" s="100"/>
      <c r="BR24" s="100"/>
    </row>
    <row r="25" spans="1:70" ht="19.5" customHeight="1" x14ac:dyDescent="0.45">
      <c r="A25" s="49"/>
      <c r="B25" s="101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99"/>
      <c r="BH25" s="49"/>
      <c r="BI25" s="49"/>
      <c r="BJ25" s="100"/>
      <c r="BK25" s="100"/>
      <c r="BL25" s="100"/>
      <c r="BM25" s="100"/>
      <c r="BN25" s="100"/>
      <c r="BO25" s="100"/>
      <c r="BP25" s="100"/>
      <c r="BQ25" s="100"/>
      <c r="BR25" s="100"/>
    </row>
    <row r="26" spans="1:70" ht="19.5" customHeight="1" x14ac:dyDescent="0.45">
      <c r="A26" s="49"/>
      <c r="B26" s="101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99"/>
      <c r="BH26" s="49"/>
      <c r="BI26" s="49"/>
      <c r="BJ26" s="100"/>
      <c r="BK26" s="100"/>
      <c r="BL26" s="100"/>
      <c r="BM26" s="100"/>
      <c r="BN26" s="100"/>
      <c r="BO26" s="100"/>
      <c r="BP26" s="100"/>
      <c r="BQ26" s="100"/>
      <c r="BR26" s="100"/>
    </row>
    <row r="27" spans="1:70" ht="19.5" customHeight="1" x14ac:dyDescent="0.45">
      <c r="A27" s="49"/>
      <c r="B27" s="101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99"/>
      <c r="BH27" s="49"/>
      <c r="BI27" s="49"/>
      <c r="BJ27" s="100"/>
      <c r="BK27" s="100"/>
      <c r="BL27" s="100"/>
      <c r="BM27" s="100"/>
      <c r="BN27" s="100"/>
      <c r="BO27" s="100"/>
      <c r="BP27" s="100"/>
      <c r="BQ27" s="100"/>
      <c r="BR27" s="100"/>
    </row>
    <row r="28" spans="1:70" ht="19.5" customHeight="1" x14ac:dyDescent="0.45">
      <c r="A28" s="49"/>
      <c r="B28" s="101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99"/>
      <c r="BH28" s="49"/>
      <c r="BI28" s="49"/>
      <c r="BJ28" s="100"/>
      <c r="BK28" s="100"/>
      <c r="BL28" s="100"/>
      <c r="BM28" s="100"/>
      <c r="BN28" s="100"/>
      <c r="BO28" s="100"/>
      <c r="BP28" s="100"/>
      <c r="BQ28" s="100"/>
      <c r="BR28" s="100"/>
    </row>
    <row r="29" spans="1:70" ht="19.5" customHeight="1" x14ac:dyDescent="0.45">
      <c r="A29" s="49"/>
      <c r="B29" s="101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99"/>
      <c r="BH29" s="49"/>
      <c r="BI29" s="49"/>
      <c r="BJ29" s="100"/>
      <c r="BK29" s="100"/>
      <c r="BL29" s="100"/>
      <c r="BM29" s="100"/>
      <c r="BN29" s="100"/>
      <c r="BO29" s="100"/>
      <c r="BP29" s="100"/>
      <c r="BQ29" s="100"/>
      <c r="BR29" s="100"/>
    </row>
    <row r="30" spans="1:70" ht="19.5" customHeight="1" x14ac:dyDescent="0.45">
      <c r="A30" s="49"/>
      <c r="B30" s="87" t="s">
        <v>322</v>
      </c>
      <c r="C30" s="88"/>
      <c r="D30" s="88"/>
      <c r="E30" s="89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1"/>
      <c r="S30" s="90"/>
      <c r="T30" s="90"/>
      <c r="U30" s="90"/>
      <c r="V30" s="90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3"/>
      <c r="BH30" s="49"/>
      <c r="BI30" s="49"/>
      <c r="BJ30" s="100"/>
      <c r="BK30" s="100"/>
      <c r="BL30" s="100"/>
      <c r="BM30" s="100"/>
      <c r="BN30" s="100"/>
      <c r="BO30" s="100"/>
      <c r="BP30" s="100"/>
      <c r="BQ30" s="100"/>
      <c r="BR30" s="100"/>
    </row>
    <row r="31" spans="1:70" ht="19.5" customHeight="1" x14ac:dyDescent="0.45">
      <c r="A31" s="49"/>
      <c r="B31" s="101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99"/>
      <c r="BH31" s="49"/>
      <c r="BI31" s="49"/>
      <c r="BJ31" s="100"/>
      <c r="BK31" s="100"/>
      <c r="BL31" s="100"/>
      <c r="BM31" s="100"/>
      <c r="BN31" s="100"/>
      <c r="BO31" s="100"/>
      <c r="BP31" s="100"/>
      <c r="BQ31" s="100"/>
      <c r="BR31" s="100"/>
    </row>
    <row r="32" spans="1:70" ht="19.5" customHeight="1" x14ac:dyDescent="0.45">
      <c r="A32" s="49"/>
      <c r="B32" s="101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99"/>
      <c r="BH32" s="49"/>
      <c r="BI32" s="49"/>
      <c r="BJ32" s="100"/>
      <c r="BK32" s="100"/>
      <c r="BL32" s="100"/>
      <c r="BM32" s="100"/>
      <c r="BN32" s="100"/>
      <c r="BO32" s="100"/>
      <c r="BP32" s="100"/>
      <c r="BQ32" s="100"/>
      <c r="BR32" s="100"/>
    </row>
    <row r="33" spans="1:70" ht="19.5" customHeight="1" x14ac:dyDescent="0.45">
      <c r="A33" s="49"/>
      <c r="B33" s="101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99"/>
      <c r="BH33" s="49"/>
      <c r="BI33" s="49"/>
      <c r="BJ33" s="100"/>
      <c r="BK33" s="100"/>
      <c r="BL33" s="100"/>
      <c r="BM33" s="100"/>
      <c r="BN33" s="100"/>
      <c r="BO33" s="100"/>
      <c r="BP33" s="100"/>
      <c r="BQ33" s="100"/>
      <c r="BR33" s="100"/>
    </row>
    <row r="34" spans="1:70" ht="19.5" customHeight="1" x14ac:dyDescent="0.45">
      <c r="A34" s="49"/>
      <c r="B34" s="101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99"/>
      <c r="BH34" s="49"/>
      <c r="BI34" s="49"/>
      <c r="BJ34" s="100"/>
      <c r="BK34" s="100"/>
      <c r="BL34" s="100"/>
      <c r="BM34" s="100"/>
      <c r="BN34" s="100"/>
      <c r="BO34" s="100"/>
      <c r="BP34" s="100"/>
      <c r="BQ34" s="100"/>
      <c r="BR34" s="100"/>
    </row>
    <row r="35" spans="1:70" ht="19.5" customHeight="1" x14ac:dyDescent="0.45">
      <c r="A35" s="49"/>
      <c r="B35" s="101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99"/>
      <c r="BH35" s="49"/>
      <c r="BI35" s="49"/>
      <c r="BJ35" s="100"/>
      <c r="BK35" s="100"/>
      <c r="BL35" s="100"/>
      <c r="BM35" s="100"/>
      <c r="BN35" s="100"/>
      <c r="BO35" s="100"/>
      <c r="BP35" s="100"/>
      <c r="BQ35" s="100"/>
      <c r="BR35" s="100"/>
    </row>
    <row r="36" spans="1:70" ht="19.5" customHeight="1" x14ac:dyDescent="0.45">
      <c r="A36" s="49"/>
      <c r="B36" s="101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99"/>
      <c r="BH36" s="49"/>
      <c r="BI36" s="49"/>
      <c r="BJ36" s="100"/>
      <c r="BK36" s="100"/>
      <c r="BL36" s="100"/>
      <c r="BM36" s="100"/>
      <c r="BN36" s="100"/>
      <c r="BO36" s="100"/>
      <c r="BP36" s="100"/>
      <c r="BQ36" s="100"/>
      <c r="BR36" s="100"/>
    </row>
    <row r="37" spans="1:70" ht="19.5" customHeight="1" x14ac:dyDescent="0.45">
      <c r="A37" s="49"/>
      <c r="B37" s="101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99"/>
      <c r="BH37" s="49"/>
      <c r="BI37" s="49"/>
      <c r="BJ37" s="100"/>
      <c r="BK37" s="100"/>
      <c r="BL37" s="100"/>
      <c r="BM37" s="100"/>
      <c r="BN37" s="100"/>
      <c r="BO37" s="100"/>
      <c r="BP37" s="100"/>
      <c r="BQ37" s="100"/>
      <c r="BR37" s="100"/>
    </row>
    <row r="38" spans="1:70" ht="19.5" customHeight="1" x14ac:dyDescent="0.45">
      <c r="A38" s="49"/>
      <c r="B38" s="101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99"/>
      <c r="BH38" s="49"/>
      <c r="BI38" s="49"/>
      <c r="BJ38" s="100"/>
      <c r="BK38" s="100"/>
      <c r="BL38" s="100"/>
      <c r="BM38" s="100"/>
      <c r="BN38" s="100"/>
      <c r="BO38" s="100"/>
      <c r="BP38" s="100"/>
      <c r="BQ38" s="100"/>
      <c r="BR38" s="100"/>
    </row>
    <row r="39" spans="1:70" ht="19.5" customHeight="1" x14ac:dyDescent="0.45">
      <c r="A39" s="49"/>
      <c r="B39" s="101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99"/>
      <c r="BH39" s="49"/>
      <c r="BI39" s="49"/>
      <c r="BJ39" s="100"/>
      <c r="BK39" s="100"/>
      <c r="BL39" s="100"/>
      <c r="BM39" s="100"/>
      <c r="BN39" s="100"/>
      <c r="BO39" s="100"/>
      <c r="BP39" s="100"/>
      <c r="BQ39" s="100"/>
      <c r="BR39" s="100"/>
    </row>
    <row r="40" spans="1:70" ht="19.5" customHeight="1" x14ac:dyDescent="0.45">
      <c r="A40" s="49"/>
      <c r="B40" s="101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99"/>
      <c r="BH40" s="49"/>
      <c r="BI40" s="49"/>
      <c r="BJ40" s="100"/>
      <c r="BK40" s="100"/>
      <c r="BL40" s="100"/>
      <c r="BM40" s="100"/>
      <c r="BN40" s="100"/>
      <c r="BO40" s="100"/>
      <c r="BP40" s="100"/>
      <c r="BQ40" s="100"/>
      <c r="BR40" s="100"/>
    </row>
    <row r="41" spans="1:70" ht="19.5" customHeight="1" x14ac:dyDescent="0.45">
      <c r="A41" s="100"/>
      <c r="B41" s="101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2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</row>
    <row r="42" spans="1:70" ht="19.5" customHeight="1" x14ac:dyDescent="0.45">
      <c r="A42" s="100"/>
      <c r="B42" s="10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2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</row>
    <row r="43" spans="1:70" ht="19.5" customHeight="1" x14ac:dyDescent="0.45">
      <c r="A43" s="100"/>
      <c r="B43" s="101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2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</row>
    <row r="44" spans="1:70" ht="19.5" customHeight="1" x14ac:dyDescent="0.45">
      <c r="A44" s="100"/>
      <c r="B44" s="101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2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</row>
    <row r="45" spans="1:70" ht="19.5" customHeight="1" x14ac:dyDescent="0.45">
      <c r="A45" s="100"/>
      <c r="B45" s="10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2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</row>
    <row r="46" spans="1:70" ht="19.5" customHeight="1" x14ac:dyDescent="0.45">
      <c r="A46" s="100"/>
      <c r="B46" s="101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2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</row>
    <row r="47" spans="1:70" ht="19.5" customHeight="1" x14ac:dyDescent="0.45">
      <c r="A47" s="100"/>
      <c r="B47" s="101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2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</row>
    <row r="48" spans="1:70" ht="19.5" customHeight="1" x14ac:dyDescent="0.45">
      <c r="A48" s="49"/>
      <c r="B48" s="87" t="s">
        <v>323</v>
      </c>
      <c r="C48" s="88"/>
      <c r="D48" s="88"/>
      <c r="E48" s="89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1"/>
      <c r="S48" s="90"/>
      <c r="T48" s="90"/>
      <c r="U48" s="90"/>
      <c r="V48" s="90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3"/>
      <c r="BH48" s="49"/>
      <c r="BI48" s="49"/>
      <c r="BJ48" s="100"/>
      <c r="BK48" s="100"/>
      <c r="BL48" s="100"/>
      <c r="BM48" s="100"/>
      <c r="BN48" s="100"/>
      <c r="BO48" s="100"/>
      <c r="BP48" s="100"/>
      <c r="BQ48" s="100"/>
      <c r="BR48" s="100"/>
    </row>
    <row r="49" spans="1:70" ht="19.5" customHeight="1" x14ac:dyDescent="0.45">
      <c r="A49" s="100"/>
      <c r="B49" s="101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2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</row>
    <row r="50" spans="1:70" ht="19.5" customHeight="1" x14ac:dyDescent="0.45">
      <c r="A50" s="100"/>
      <c r="B50" s="101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2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</row>
    <row r="51" spans="1:70" ht="19.5" customHeight="1" x14ac:dyDescent="0.45">
      <c r="A51" s="100"/>
      <c r="B51" s="101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2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</row>
    <row r="52" spans="1:70" ht="19.5" customHeight="1" x14ac:dyDescent="0.45">
      <c r="A52" s="100"/>
      <c r="B52" s="101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2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</row>
    <row r="53" spans="1:70" ht="19.5" customHeight="1" x14ac:dyDescent="0.45">
      <c r="A53" s="100"/>
      <c r="B53" s="101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2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</row>
    <row r="54" spans="1:70" ht="19.5" customHeight="1" x14ac:dyDescent="0.45">
      <c r="A54" s="100"/>
      <c r="B54" s="10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2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</row>
    <row r="55" spans="1:70" ht="19.5" customHeight="1" x14ac:dyDescent="0.45">
      <c r="A55" s="100"/>
      <c r="B55" s="101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2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</row>
    <row r="56" spans="1:70" ht="19.5" customHeight="1" x14ac:dyDescent="0.45">
      <c r="A56" s="100"/>
      <c r="B56" s="101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2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</row>
    <row r="57" spans="1:70" ht="19.5" customHeight="1" x14ac:dyDescent="0.45">
      <c r="A57" s="100"/>
      <c r="B57" s="10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2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</row>
    <row r="58" spans="1:70" ht="19.5" customHeight="1" x14ac:dyDescent="0.45">
      <c r="A58" s="100"/>
      <c r="B58" s="101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2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</row>
    <row r="59" spans="1:70" ht="19.5" customHeight="1" x14ac:dyDescent="0.45">
      <c r="A59" s="100"/>
      <c r="B59" s="101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2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</row>
    <row r="60" spans="1:70" ht="19.5" customHeight="1" x14ac:dyDescent="0.45">
      <c r="A60" s="100"/>
      <c r="B60" s="10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2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</row>
    <row r="61" spans="1:70" ht="19.5" customHeight="1" x14ac:dyDescent="0.45">
      <c r="A61" s="100"/>
      <c r="B61" s="101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2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</row>
    <row r="62" spans="1:70" ht="19.5" customHeight="1" x14ac:dyDescent="0.45">
      <c r="A62" s="100"/>
      <c r="B62" s="101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2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</row>
    <row r="63" spans="1:70" ht="19.5" customHeight="1" x14ac:dyDescent="0.45">
      <c r="A63" s="100"/>
      <c r="B63" s="103"/>
      <c r="C63" s="100"/>
      <c r="D63" s="100"/>
      <c r="E63" s="100"/>
      <c r="F63" s="100"/>
      <c r="G63" s="104"/>
      <c r="H63" s="100"/>
      <c r="I63" s="104"/>
      <c r="J63" s="100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2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</row>
    <row r="64" spans="1:70" ht="19.5" customHeight="1" x14ac:dyDescent="0.45">
      <c r="A64" s="105"/>
      <c r="B64" s="106" t="s">
        <v>324</v>
      </c>
      <c r="C64" s="107"/>
      <c r="D64" s="107"/>
      <c r="E64" s="107"/>
      <c r="F64" s="107"/>
      <c r="G64" s="107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9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</row>
    <row r="65" spans="1:70" s="115" customFormat="1" ht="9" customHeight="1" x14ac:dyDescent="0.45">
      <c r="A65" s="110"/>
      <c r="B65" s="111"/>
      <c r="C65" s="112"/>
      <c r="D65" s="112"/>
      <c r="E65" s="112"/>
      <c r="F65" s="112"/>
      <c r="G65" s="112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113"/>
      <c r="BD65" s="113"/>
      <c r="BE65" s="113"/>
      <c r="BF65" s="113"/>
      <c r="BG65" s="114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</row>
    <row r="66" spans="1:70" ht="25.9" customHeight="1" x14ac:dyDescent="0.45">
      <c r="A66" s="100"/>
      <c r="B66" s="116" t="s">
        <v>325</v>
      </c>
      <c r="C66" s="104"/>
      <c r="D66" s="117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2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100"/>
    </row>
    <row r="67" spans="1:70" ht="27.75" customHeight="1" x14ac:dyDescent="0.45">
      <c r="A67" s="50"/>
      <c r="B67" s="116" t="s">
        <v>326</v>
      </c>
      <c r="C67" s="50"/>
      <c r="D67" s="104"/>
      <c r="E67" s="118"/>
      <c r="F67" s="118"/>
      <c r="G67" s="118"/>
      <c r="H67" s="119"/>
      <c r="I67" s="120"/>
      <c r="J67" s="121"/>
      <c r="K67" s="121"/>
      <c r="L67" s="121"/>
      <c r="M67" s="119"/>
      <c r="N67" s="118"/>
      <c r="O67" s="118"/>
      <c r="P67" s="118"/>
      <c r="Q67" s="118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122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</row>
    <row r="68" spans="1:70" ht="32.65" customHeight="1" x14ac:dyDescent="0.45">
      <c r="A68" s="50"/>
      <c r="B68" s="116" t="s">
        <v>327</v>
      </c>
      <c r="C68" s="50"/>
      <c r="D68" s="50"/>
      <c r="E68" s="104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122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</row>
    <row r="69" spans="1:70" ht="31.5" customHeight="1" x14ac:dyDescent="0.45">
      <c r="A69" s="50"/>
      <c r="B69" s="116" t="s">
        <v>328</v>
      </c>
      <c r="C69" s="50"/>
      <c r="D69" s="50"/>
      <c r="E69" s="50"/>
      <c r="F69" s="104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122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</row>
    <row r="70" spans="1:70" ht="19.5" customHeight="1" x14ac:dyDescent="0.45">
      <c r="A70" s="50"/>
      <c r="B70" s="123"/>
      <c r="C70" s="50"/>
      <c r="D70" s="50"/>
      <c r="E70" s="50"/>
      <c r="F70" s="104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122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</row>
    <row r="71" spans="1:70" ht="19.5" customHeight="1" x14ac:dyDescent="0.45">
      <c r="A71" s="50"/>
      <c r="B71" s="101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122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</row>
    <row r="72" spans="1:70" ht="19.5" customHeight="1" x14ac:dyDescent="0.45">
      <c r="A72" s="50"/>
      <c r="B72" s="124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6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</row>
    <row r="73" spans="1:70" ht="19.5" customHeight="1" x14ac:dyDescent="0.45">
      <c r="A73" s="105"/>
      <c r="B73" s="127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</row>
    <row r="74" spans="1:70" ht="19.5" customHeight="1" x14ac:dyDescent="0.45">
      <c r="A74" s="105"/>
      <c r="B74" s="127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105"/>
    </row>
    <row r="75" spans="1:70" ht="19.5" customHeight="1" x14ac:dyDescent="0.45">
      <c r="A75" s="105"/>
      <c r="B75" s="127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</row>
    <row r="76" spans="1:70" ht="19.5" customHeight="1" x14ac:dyDescent="0.45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</row>
    <row r="77" spans="1:70" ht="19.5" customHeight="1" x14ac:dyDescent="0.45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</row>
    <row r="78" spans="1:70" ht="19.5" customHeight="1" x14ac:dyDescent="0.45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</row>
    <row r="79" spans="1:70" ht="19.5" customHeight="1" x14ac:dyDescent="0.45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</row>
    <row r="80" spans="1:70" ht="19.5" customHeight="1" x14ac:dyDescent="0.45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</row>
    <row r="81" spans="1:70" ht="19.5" customHeight="1" x14ac:dyDescent="0.45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</row>
    <row r="82" spans="1:70" ht="19.5" customHeight="1" x14ac:dyDescent="0.45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  <c r="BO82" s="105"/>
      <c r="BP82" s="105"/>
      <c r="BQ82" s="105"/>
      <c r="BR82" s="105"/>
    </row>
    <row r="83" spans="1:70" ht="19.5" customHeight="1" x14ac:dyDescent="0.45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  <c r="BO83" s="105"/>
      <c r="BP83" s="105"/>
      <c r="BQ83" s="105"/>
      <c r="BR83" s="105"/>
    </row>
    <row r="84" spans="1:70" ht="19.5" customHeight="1" x14ac:dyDescent="0.45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  <c r="BO84" s="105"/>
      <c r="BP84" s="105"/>
      <c r="BQ84" s="105"/>
      <c r="BR84" s="105"/>
    </row>
    <row r="85" spans="1:70" ht="19.5" customHeight="1" x14ac:dyDescent="0.4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  <c r="BO85" s="105"/>
      <c r="BP85" s="105"/>
      <c r="BQ85" s="105"/>
      <c r="BR85" s="105"/>
    </row>
    <row r="86" spans="1:70" ht="19.5" customHeight="1" x14ac:dyDescent="0.45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  <c r="BO86" s="105"/>
      <c r="BP86" s="105"/>
      <c r="BQ86" s="105"/>
      <c r="BR86" s="105"/>
    </row>
    <row r="87" spans="1:70" ht="19.5" customHeight="1" x14ac:dyDescent="0.45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  <c r="BO87" s="105"/>
      <c r="BP87" s="105"/>
      <c r="BQ87" s="105"/>
      <c r="BR87" s="105"/>
    </row>
    <row r="88" spans="1:70" ht="19.5" customHeight="1" x14ac:dyDescent="0.45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  <c r="BO88" s="105"/>
      <c r="BP88" s="105"/>
      <c r="BQ88" s="105"/>
      <c r="BR88" s="105"/>
    </row>
    <row r="89" spans="1:70" ht="19.5" customHeight="1" x14ac:dyDescent="0.45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  <c r="BO89" s="105"/>
      <c r="BP89" s="105"/>
      <c r="BQ89" s="105"/>
      <c r="BR89" s="105"/>
    </row>
    <row r="90" spans="1:70" ht="19.5" customHeight="1" x14ac:dyDescent="0.45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  <c r="BO90" s="105"/>
      <c r="BP90" s="105"/>
      <c r="BQ90" s="105"/>
      <c r="BR90" s="105"/>
    </row>
    <row r="91" spans="1:70" ht="19.5" customHeight="1" x14ac:dyDescent="0.4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</row>
    <row r="92" spans="1:70" ht="19.5" customHeight="1" x14ac:dyDescent="0.45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</row>
    <row r="93" spans="1:70" ht="19.5" customHeight="1" x14ac:dyDescent="0.45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</row>
    <row r="94" spans="1:70" ht="19.5" customHeight="1" x14ac:dyDescent="0.45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</row>
    <row r="95" spans="1:70" ht="19.5" customHeight="1" x14ac:dyDescent="0.4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</row>
    <row r="96" spans="1:70" ht="19.5" customHeight="1" x14ac:dyDescent="0.45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</row>
    <row r="97" spans="1:70" ht="19.5" customHeight="1" x14ac:dyDescent="0.45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</row>
    <row r="98" spans="1:70" ht="19.5" customHeight="1" x14ac:dyDescent="0.45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  <c r="BO98" s="105"/>
      <c r="BP98" s="105"/>
      <c r="BQ98" s="105"/>
      <c r="BR98" s="105"/>
    </row>
    <row r="99" spans="1:70" ht="19.5" customHeight="1" x14ac:dyDescent="0.45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  <c r="BO99" s="105"/>
      <c r="BP99" s="105"/>
      <c r="BQ99" s="105"/>
      <c r="BR99" s="105"/>
    </row>
    <row r="100" spans="1:70" ht="19.5" customHeight="1" x14ac:dyDescent="0.45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</row>
    <row r="101" spans="1:70" ht="19.5" customHeight="1" x14ac:dyDescent="0.45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</row>
    <row r="102" spans="1:70" ht="19.5" customHeight="1" x14ac:dyDescent="0.45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</row>
    <row r="103" spans="1:70" ht="19.5" customHeight="1" x14ac:dyDescent="0.45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</row>
    <row r="104" spans="1:70" ht="19.5" customHeight="1" x14ac:dyDescent="0.45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</row>
    <row r="105" spans="1:70" ht="19.5" customHeight="1" x14ac:dyDescent="0.4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  <c r="BO105" s="105"/>
      <c r="BP105" s="105"/>
      <c r="BQ105" s="105"/>
      <c r="BR105" s="105"/>
    </row>
    <row r="106" spans="1:70" ht="19.5" customHeight="1" x14ac:dyDescent="0.45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  <c r="BK106" s="105"/>
      <c r="BL106" s="105"/>
      <c r="BM106" s="105"/>
      <c r="BN106" s="105"/>
      <c r="BO106" s="105"/>
      <c r="BP106" s="105"/>
      <c r="BQ106" s="105"/>
      <c r="BR106" s="105"/>
    </row>
    <row r="107" spans="1:70" ht="19.5" customHeight="1" x14ac:dyDescent="0.45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  <c r="BO107" s="105"/>
      <c r="BP107" s="105"/>
      <c r="BQ107" s="105"/>
      <c r="BR107" s="105"/>
    </row>
    <row r="108" spans="1:70" ht="19.5" customHeight="1" x14ac:dyDescent="0.45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  <c r="BO108" s="105"/>
      <c r="BP108" s="105"/>
      <c r="BQ108" s="105"/>
      <c r="BR108" s="105"/>
    </row>
    <row r="109" spans="1:70" ht="19.5" customHeight="1" x14ac:dyDescent="0.45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</row>
    <row r="110" spans="1:70" ht="19.5" customHeight="1" x14ac:dyDescent="0.4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5"/>
      <c r="BK110" s="105"/>
      <c r="BL110" s="105"/>
      <c r="BM110" s="105"/>
      <c r="BN110" s="105"/>
      <c r="BO110" s="105"/>
      <c r="BP110" s="105"/>
      <c r="BQ110" s="105"/>
      <c r="BR110" s="105"/>
    </row>
    <row r="111" spans="1:70" ht="19.5" customHeight="1" x14ac:dyDescent="0.4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  <c r="BO111" s="105"/>
      <c r="BP111" s="105"/>
      <c r="BQ111" s="105"/>
      <c r="BR111" s="105"/>
    </row>
    <row r="112" spans="1:70" ht="19.5" customHeight="1" x14ac:dyDescent="0.45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  <c r="BO112" s="105"/>
      <c r="BP112" s="105"/>
      <c r="BQ112" s="105"/>
      <c r="BR112" s="105"/>
    </row>
    <row r="113" spans="1:70" ht="19.5" customHeight="1" x14ac:dyDescent="0.45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  <c r="BO113" s="105"/>
      <c r="BP113" s="105"/>
      <c r="BQ113" s="105"/>
      <c r="BR113" s="105"/>
    </row>
    <row r="114" spans="1:70" ht="19.5" customHeight="1" x14ac:dyDescent="0.45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  <c r="BL114" s="105"/>
      <c r="BM114" s="105"/>
      <c r="BN114" s="105"/>
      <c r="BO114" s="105"/>
      <c r="BP114" s="105"/>
      <c r="BQ114" s="105"/>
      <c r="BR114" s="105"/>
    </row>
    <row r="115" spans="1:70" ht="19.5" customHeight="1" x14ac:dyDescent="0.4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  <c r="BO115" s="105"/>
      <c r="BP115" s="105"/>
      <c r="BQ115" s="105"/>
      <c r="BR115" s="105"/>
    </row>
    <row r="116" spans="1:70" ht="19.5" customHeight="1" x14ac:dyDescent="0.45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  <c r="BO116" s="105"/>
      <c r="BP116" s="105"/>
      <c r="BQ116" s="105"/>
      <c r="BR116" s="105"/>
    </row>
    <row r="117" spans="1:70" ht="19.5" customHeight="1" x14ac:dyDescent="0.45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05"/>
      <c r="BP117" s="105"/>
      <c r="BQ117" s="105"/>
      <c r="BR117" s="105"/>
    </row>
    <row r="118" spans="1:70" ht="19.5" customHeight="1" x14ac:dyDescent="0.45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  <c r="BO118" s="105"/>
      <c r="BP118" s="105"/>
      <c r="BQ118" s="105"/>
      <c r="BR118" s="105"/>
    </row>
    <row r="119" spans="1:70" ht="19.5" customHeight="1" x14ac:dyDescent="0.45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05"/>
      <c r="BP119" s="105"/>
      <c r="BQ119" s="105"/>
      <c r="BR119" s="105"/>
    </row>
    <row r="120" spans="1:70" ht="19.5" customHeight="1" x14ac:dyDescent="0.45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05"/>
      <c r="BP120" s="105"/>
      <c r="BQ120" s="105"/>
      <c r="BR120" s="105"/>
    </row>
    <row r="121" spans="1:70" ht="19.5" customHeight="1" x14ac:dyDescent="0.45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  <c r="BO121" s="105"/>
      <c r="BP121" s="105"/>
      <c r="BQ121" s="105"/>
      <c r="BR121" s="105"/>
    </row>
    <row r="122" spans="1:70" ht="19.5" customHeight="1" x14ac:dyDescent="0.45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5"/>
      <c r="BN122" s="105"/>
      <c r="BO122" s="105"/>
      <c r="BP122" s="105"/>
      <c r="BQ122" s="105"/>
      <c r="BR122" s="105"/>
    </row>
    <row r="123" spans="1:70" ht="19.5" customHeight="1" x14ac:dyDescent="0.45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  <c r="BO123" s="105"/>
      <c r="BP123" s="105"/>
      <c r="BQ123" s="105"/>
      <c r="BR123" s="105"/>
    </row>
    <row r="124" spans="1:70" ht="19.5" customHeight="1" x14ac:dyDescent="0.45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5"/>
      <c r="BR124" s="105"/>
    </row>
    <row r="125" spans="1:70" ht="19.5" customHeight="1" x14ac:dyDescent="0.4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  <c r="BO125" s="105"/>
      <c r="BP125" s="105"/>
      <c r="BQ125" s="105"/>
      <c r="BR125" s="105"/>
    </row>
    <row r="126" spans="1:70" ht="19.5" customHeight="1" x14ac:dyDescent="0.45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5"/>
      <c r="BR126" s="105"/>
    </row>
    <row r="127" spans="1:70" ht="19.5" customHeight="1" x14ac:dyDescent="0.45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  <c r="BO127" s="105"/>
      <c r="BP127" s="105"/>
      <c r="BQ127" s="105"/>
      <c r="BR127" s="105"/>
    </row>
    <row r="128" spans="1:70" ht="19.5" customHeight="1" x14ac:dyDescent="0.45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105"/>
      <c r="BO128" s="105"/>
      <c r="BP128" s="105"/>
      <c r="BQ128" s="105"/>
      <c r="BR128" s="105"/>
    </row>
    <row r="129" spans="1:70" ht="19.5" customHeight="1" x14ac:dyDescent="0.45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  <c r="BO129" s="105"/>
      <c r="BP129" s="105"/>
      <c r="BQ129" s="105"/>
      <c r="BR129" s="105"/>
    </row>
    <row r="130" spans="1:70" ht="19.5" customHeight="1" x14ac:dyDescent="0.45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  <c r="BM130" s="105"/>
      <c r="BN130" s="105"/>
      <c r="BO130" s="105"/>
      <c r="BP130" s="105"/>
      <c r="BQ130" s="105"/>
      <c r="BR130" s="105"/>
    </row>
    <row r="131" spans="1:70" ht="19.5" customHeight="1" x14ac:dyDescent="0.45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</row>
    <row r="132" spans="1:70" ht="19.5" customHeight="1" x14ac:dyDescent="0.45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  <c r="BO132" s="105"/>
      <c r="BP132" s="105"/>
      <c r="BQ132" s="105"/>
      <c r="BR132" s="105"/>
    </row>
    <row r="133" spans="1:70" ht="19.5" customHeight="1" x14ac:dyDescent="0.45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  <c r="BO133" s="105"/>
      <c r="BP133" s="105"/>
      <c r="BQ133" s="105"/>
      <c r="BR133" s="105"/>
    </row>
    <row r="134" spans="1:70" ht="19.5" customHeight="1" x14ac:dyDescent="0.45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/>
      <c r="BO134" s="105"/>
      <c r="BP134" s="105"/>
      <c r="BQ134" s="105"/>
      <c r="BR134" s="105"/>
    </row>
    <row r="135" spans="1:70" ht="19.5" customHeight="1" x14ac:dyDescent="0.4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  <c r="BO135" s="105"/>
      <c r="BP135" s="105"/>
      <c r="BQ135" s="105"/>
      <c r="BR135" s="105"/>
    </row>
    <row r="136" spans="1:70" ht="19.5" customHeight="1" x14ac:dyDescent="0.45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  <c r="BO136" s="105"/>
      <c r="BP136" s="105"/>
      <c r="BQ136" s="105"/>
      <c r="BR136" s="105"/>
    </row>
    <row r="137" spans="1:70" ht="19.5" customHeight="1" x14ac:dyDescent="0.45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  <c r="BO137" s="105"/>
      <c r="BP137" s="105"/>
      <c r="BQ137" s="105"/>
      <c r="BR137" s="105"/>
    </row>
    <row r="138" spans="1:70" ht="19.5" customHeight="1" x14ac:dyDescent="0.4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  <c r="BO138" s="105"/>
      <c r="BP138" s="105"/>
      <c r="BQ138" s="105"/>
      <c r="BR138" s="105"/>
    </row>
    <row r="139" spans="1:70" ht="19.5" customHeight="1" x14ac:dyDescent="0.45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  <c r="BO139" s="105"/>
      <c r="BP139" s="105"/>
      <c r="BQ139" s="105"/>
      <c r="BR139" s="105"/>
    </row>
    <row r="140" spans="1:70" ht="19.5" customHeight="1" x14ac:dyDescent="0.45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  <c r="BO140" s="105"/>
      <c r="BP140" s="105"/>
      <c r="BQ140" s="105"/>
      <c r="BR140" s="105"/>
    </row>
    <row r="141" spans="1:70" ht="19.5" customHeight="1" x14ac:dyDescent="0.45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  <c r="BL141" s="105"/>
      <c r="BM141" s="105"/>
      <c r="BN141" s="105"/>
      <c r="BO141" s="105"/>
      <c r="BP141" s="105"/>
      <c r="BQ141" s="105"/>
      <c r="BR141" s="105"/>
    </row>
    <row r="142" spans="1:70" ht="19.5" customHeight="1" x14ac:dyDescent="0.45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  <c r="BL142" s="105"/>
      <c r="BM142" s="105"/>
      <c r="BN142" s="105"/>
      <c r="BO142" s="105"/>
      <c r="BP142" s="105"/>
      <c r="BQ142" s="105"/>
      <c r="BR142" s="105"/>
    </row>
    <row r="143" spans="1:70" ht="19.5" customHeight="1" x14ac:dyDescent="0.45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5"/>
      <c r="BN143" s="105"/>
      <c r="BO143" s="105"/>
      <c r="BP143" s="105"/>
      <c r="BQ143" s="105"/>
      <c r="BR143" s="105"/>
    </row>
    <row r="144" spans="1:70" ht="19.5" customHeight="1" x14ac:dyDescent="0.45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5"/>
      <c r="BN144" s="105"/>
      <c r="BO144" s="105"/>
      <c r="BP144" s="105"/>
      <c r="BQ144" s="105"/>
      <c r="BR144" s="105"/>
    </row>
    <row r="145" spans="1:70" ht="19.5" customHeight="1" x14ac:dyDescent="0.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  <c r="BO145" s="105"/>
      <c r="BP145" s="105"/>
      <c r="BQ145" s="105"/>
      <c r="BR145" s="105"/>
    </row>
    <row r="146" spans="1:70" ht="19.5" customHeight="1" x14ac:dyDescent="0.45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  <c r="BO146" s="105"/>
      <c r="BP146" s="105"/>
      <c r="BQ146" s="105"/>
      <c r="BR146" s="105"/>
    </row>
    <row r="147" spans="1:70" ht="19.5" customHeight="1" x14ac:dyDescent="0.45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5"/>
      <c r="BN147" s="105"/>
      <c r="BO147" s="105"/>
      <c r="BP147" s="105"/>
      <c r="BQ147" s="105"/>
      <c r="BR147" s="105"/>
    </row>
    <row r="148" spans="1:70" ht="19.5" customHeight="1" x14ac:dyDescent="0.45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  <c r="BO148" s="105"/>
      <c r="BP148" s="105"/>
      <c r="BQ148" s="105"/>
      <c r="BR148" s="105"/>
    </row>
    <row r="149" spans="1:70" ht="19.5" customHeight="1" x14ac:dyDescent="0.4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5"/>
      <c r="BN149" s="105"/>
      <c r="BO149" s="105"/>
      <c r="BP149" s="105"/>
      <c r="BQ149" s="105"/>
      <c r="BR149" s="105"/>
    </row>
    <row r="150" spans="1:70" ht="19.5" customHeight="1" x14ac:dyDescent="0.45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  <c r="BL150" s="105"/>
      <c r="BM150" s="105"/>
      <c r="BN150" s="105"/>
      <c r="BO150" s="105"/>
      <c r="BP150" s="105"/>
      <c r="BQ150" s="105"/>
      <c r="BR150" s="105"/>
    </row>
    <row r="151" spans="1:70" ht="19.5" customHeight="1" x14ac:dyDescent="0.45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5"/>
      <c r="BN151" s="105"/>
      <c r="BO151" s="105"/>
      <c r="BP151" s="105"/>
      <c r="BQ151" s="105"/>
      <c r="BR151" s="105"/>
    </row>
    <row r="152" spans="1:70" ht="19.5" customHeight="1" x14ac:dyDescent="0.45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5"/>
      <c r="BN152" s="105"/>
      <c r="BO152" s="105"/>
      <c r="BP152" s="105"/>
      <c r="BQ152" s="105"/>
      <c r="BR152" s="105"/>
    </row>
    <row r="153" spans="1:70" ht="19.5" customHeight="1" x14ac:dyDescent="0.45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  <c r="BO153" s="105"/>
      <c r="BP153" s="105"/>
      <c r="BQ153" s="105"/>
      <c r="BR153" s="105"/>
    </row>
    <row r="154" spans="1:70" ht="19.5" customHeight="1" x14ac:dyDescent="0.45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5"/>
      <c r="BK154" s="105"/>
      <c r="BL154" s="105"/>
      <c r="BM154" s="105"/>
      <c r="BN154" s="105"/>
      <c r="BO154" s="105"/>
      <c r="BP154" s="105"/>
      <c r="BQ154" s="105"/>
      <c r="BR154" s="105"/>
    </row>
    <row r="155" spans="1:70" ht="19.5" customHeight="1" x14ac:dyDescent="0.4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5"/>
      <c r="BN155" s="105"/>
      <c r="BO155" s="105"/>
      <c r="BP155" s="105"/>
      <c r="BQ155" s="105"/>
      <c r="BR155" s="105"/>
    </row>
    <row r="156" spans="1:70" ht="19.5" customHeight="1" x14ac:dyDescent="0.45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5"/>
      <c r="BN156" s="105"/>
      <c r="BO156" s="105"/>
      <c r="BP156" s="105"/>
      <c r="BQ156" s="105"/>
      <c r="BR156" s="105"/>
    </row>
    <row r="157" spans="1:70" ht="19.5" customHeight="1" x14ac:dyDescent="0.45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5"/>
      <c r="BN157" s="105"/>
      <c r="BO157" s="105"/>
      <c r="BP157" s="105"/>
      <c r="BQ157" s="105"/>
      <c r="BR157" s="105"/>
    </row>
    <row r="158" spans="1:70" ht="19.5" customHeight="1" x14ac:dyDescent="0.45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5"/>
      <c r="BN158" s="105"/>
      <c r="BO158" s="105"/>
      <c r="BP158" s="105"/>
      <c r="BQ158" s="105"/>
      <c r="BR158" s="105"/>
    </row>
    <row r="159" spans="1:70" ht="19.5" customHeight="1" x14ac:dyDescent="0.45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</row>
    <row r="160" spans="1:70" ht="19.5" customHeight="1" x14ac:dyDescent="0.45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105"/>
      <c r="BO160" s="105"/>
      <c r="BP160" s="105"/>
      <c r="BQ160" s="105"/>
      <c r="BR160" s="105"/>
    </row>
    <row r="161" spans="1:70" ht="19.5" customHeight="1" x14ac:dyDescent="0.45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</row>
    <row r="162" spans="1:70" ht="19.5" customHeight="1" x14ac:dyDescent="0.45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</row>
    <row r="163" spans="1:70" ht="19.5" customHeight="1" x14ac:dyDescent="0.45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</row>
    <row r="164" spans="1:70" ht="19.5" customHeight="1" x14ac:dyDescent="0.45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105"/>
      <c r="BO164" s="105"/>
      <c r="BP164" s="105"/>
      <c r="BQ164" s="105"/>
      <c r="BR164" s="105"/>
    </row>
    <row r="165" spans="1:70" ht="19.5" customHeight="1" x14ac:dyDescent="0.4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5"/>
      <c r="BN165" s="105"/>
      <c r="BO165" s="105"/>
      <c r="BP165" s="105"/>
      <c r="BQ165" s="105"/>
      <c r="BR165" s="105"/>
    </row>
    <row r="166" spans="1:70" ht="19.5" customHeight="1" x14ac:dyDescent="0.45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5"/>
      <c r="BK166" s="105"/>
      <c r="BL166" s="105"/>
      <c r="BM166" s="105"/>
      <c r="BN166" s="105"/>
      <c r="BO166" s="105"/>
      <c r="BP166" s="105"/>
      <c r="BQ166" s="105"/>
      <c r="BR166" s="105"/>
    </row>
    <row r="167" spans="1:70" ht="19.5" customHeight="1" x14ac:dyDescent="0.45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  <c r="BL167" s="105"/>
      <c r="BM167" s="105"/>
      <c r="BN167" s="105"/>
      <c r="BO167" s="105"/>
      <c r="BP167" s="105"/>
      <c r="BQ167" s="105"/>
      <c r="BR167" s="105"/>
    </row>
    <row r="168" spans="1:70" ht="19.5" customHeight="1" x14ac:dyDescent="0.45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5"/>
      <c r="BN168" s="105"/>
      <c r="BO168" s="105"/>
      <c r="BP168" s="105"/>
      <c r="BQ168" s="105"/>
      <c r="BR168" s="105"/>
    </row>
    <row r="169" spans="1:70" ht="19.5" customHeight="1" x14ac:dyDescent="0.45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  <c r="BL169" s="105"/>
      <c r="BM169" s="105"/>
      <c r="BN169" s="105"/>
      <c r="BO169" s="105"/>
      <c r="BP169" s="105"/>
      <c r="BQ169" s="105"/>
      <c r="BR169" s="105"/>
    </row>
    <row r="170" spans="1:70" ht="19.5" customHeight="1" x14ac:dyDescent="0.45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5"/>
      <c r="BK170" s="105"/>
      <c r="BL170" s="105"/>
      <c r="BM170" s="105"/>
      <c r="BN170" s="105"/>
      <c r="BO170" s="105"/>
      <c r="BP170" s="105"/>
      <c r="BQ170" s="105"/>
      <c r="BR170" s="105"/>
    </row>
    <row r="171" spans="1:70" ht="19.5" customHeight="1" x14ac:dyDescent="0.45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  <c r="BL171" s="105"/>
      <c r="BM171" s="105"/>
      <c r="BN171" s="105"/>
      <c r="BO171" s="105"/>
      <c r="BP171" s="105"/>
      <c r="BQ171" s="105"/>
      <c r="BR171" s="105"/>
    </row>
    <row r="172" spans="1:70" ht="19.5" customHeight="1" x14ac:dyDescent="0.45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5"/>
      <c r="BN172" s="105"/>
      <c r="BO172" s="105"/>
      <c r="BP172" s="105"/>
      <c r="BQ172" s="105"/>
      <c r="BR172" s="105"/>
    </row>
    <row r="173" spans="1:70" ht="19.5" customHeight="1" x14ac:dyDescent="0.45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  <c r="BL173" s="105"/>
      <c r="BM173" s="105"/>
      <c r="BN173" s="105"/>
      <c r="BO173" s="105"/>
      <c r="BP173" s="105"/>
      <c r="BQ173" s="105"/>
      <c r="BR173" s="105"/>
    </row>
    <row r="174" spans="1:70" ht="19.5" customHeight="1" x14ac:dyDescent="0.45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5"/>
      <c r="BK174" s="105"/>
      <c r="BL174" s="105"/>
      <c r="BM174" s="105"/>
      <c r="BN174" s="105"/>
      <c r="BO174" s="105"/>
      <c r="BP174" s="105"/>
      <c r="BQ174" s="105"/>
      <c r="BR174" s="105"/>
    </row>
    <row r="175" spans="1:70" ht="19.5" customHeight="1" x14ac:dyDescent="0.4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  <c r="BL175" s="105"/>
      <c r="BM175" s="105"/>
      <c r="BN175" s="105"/>
      <c r="BO175" s="105"/>
      <c r="BP175" s="105"/>
      <c r="BQ175" s="105"/>
      <c r="BR175" s="105"/>
    </row>
    <row r="176" spans="1:70" ht="19.5" customHeight="1" x14ac:dyDescent="0.45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5"/>
      <c r="BN176" s="105"/>
      <c r="BO176" s="105"/>
      <c r="BP176" s="105"/>
      <c r="BQ176" s="105"/>
      <c r="BR176" s="105"/>
    </row>
    <row r="177" spans="1:70" ht="19.5" customHeight="1" x14ac:dyDescent="0.45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5"/>
      <c r="BN177" s="105"/>
      <c r="BO177" s="105"/>
      <c r="BP177" s="105"/>
      <c r="BQ177" s="105"/>
      <c r="BR177" s="105"/>
    </row>
    <row r="178" spans="1:70" ht="19.5" customHeight="1" x14ac:dyDescent="0.45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5"/>
      <c r="BK178" s="105"/>
      <c r="BL178" s="105"/>
      <c r="BM178" s="105"/>
      <c r="BN178" s="105"/>
      <c r="BO178" s="105"/>
      <c r="BP178" s="105"/>
      <c r="BQ178" s="105"/>
      <c r="BR178" s="105"/>
    </row>
    <row r="179" spans="1:70" ht="19.5" customHeight="1" x14ac:dyDescent="0.45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  <c r="BL179" s="105"/>
      <c r="BM179" s="105"/>
      <c r="BN179" s="105"/>
      <c r="BO179" s="105"/>
      <c r="BP179" s="105"/>
      <c r="BQ179" s="105"/>
      <c r="BR179" s="105"/>
    </row>
    <row r="180" spans="1:70" ht="19.5" customHeight="1" x14ac:dyDescent="0.45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  <c r="BL180" s="105"/>
      <c r="BM180" s="105"/>
      <c r="BN180" s="105"/>
      <c r="BO180" s="105"/>
      <c r="BP180" s="105"/>
      <c r="BQ180" s="105"/>
      <c r="BR180" s="105"/>
    </row>
    <row r="181" spans="1:70" ht="19.5" customHeight="1" x14ac:dyDescent="0.45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  <c r="BL181" s="105"/>
      <c r="BM181" s="105"/>
      <c r="BN181" s="105"/>
      <c r="BO181" s="105"/>
      <c r="BP181" s="105"/>
      <c r="BQ181" s="105"/>
      <c r="BR181" s="105"/>
    </row>
    <row r="182" spans="1:70" ht="19.5" customHeight="1" x14ac:dyDescent="0.45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5"/>
      <c r="BK182" s="105"/>
      <c r="BL182" s="105"/>
      <c r="BM182" s="105"/>
      <c r="BN182" s="105"/>
      <c r="BO182" s="105"/>
      <c r="BP182" s="105"/>
      <c r="BQ182" s="105"/>
      <c r="BR182" s="105"/>
    </row>
    <row r="183" spans="1:70" ht="19.5" customHeight="1" x14ac:dyDescent="0.45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  <c r="BL183" s="105"/>
      <c r="BM183" s="105"/>
      <c r="BN183" s="105"/>
      <c r="BO183" s="105"/>
      <c r="BP183" s="105"/>
      <c r="BQ183" s="105"/>
      <c r="BR183" s="105"/>
    </row>
    <row r="184" spans="1:70" ht="19.5" customHeight="1" x14ac:dyDescent="0.45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  <c r="BL184" s="105"/>
      <c r="BM184" s="105"/>
      <c r="BN184" s="105"/>
      <c r="BO184" s="105"/>
      <c r="BP184" s="105"/>
      <c r="BQ184" s="105"/>
      <c r="BR184" s="105"/>
    </row>
    <row r="185" spans="1:70" ht="19.5" customHeight="1" x14ac:dyDescent="0.4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  <c r="BL185" s="105"/>
      <c r="BM185" s="105"/>
      <c r="BN185" s="105"/>
      <c r="BO185" s="105"/>
      <c r="BP185" s="105"/>
      <c r="BQ185" s="105"/>
      <c r="BR185" s="105"/>
    </row>
    <row r="186" spans="1:70" ht="19.5" customHeight="1" x14ac:dyDescent="0.4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5"/>
      <c r="BK186" s="105"/>
      <c r="BL186" s="105"/>
      <c r="BM186" s="105"/>
      <c r="BN186" s="105"/>
      <c r="BO186" s="105"/>
      <c r="BP186" s="105"/>
      <c r="BQ186" s="105"/>
      <c r="BR186" s="105"/>
    </row>
    <row r="187" spans="1:70" ht="19.5" customHeight="1" x14ac:dyDescent="0.45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5"/>
      <c r="BN187" s="105"/>
      <c r="BO187" s="105"/>
      <c r="BP187" s="105"/>
      <c r="BQ187" s="105"/>
      <c r="BR187" s="105"/>
    </row>
    <row r="188" spans="1:70" ht="19.5" customHeight="1" x14ac:dyDescent="0.4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  <c r="BO188" s="105"/>
      <c r="BP188" s="105"/>
      <c r="BQ188" s="105"/>
      <c r="BR188" s="105"/>
    </row>
    <row r="189" spans="1:70" ht="19.5" customHeight="1" x14ac:dyDescent="0.45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  <c r="BO189" s="105"/>
      <c r="BP189" s="105"/>
      <c r="BQ189" s="105"/>
      <c r="BR189" s="105"/>
    </row>
    <row r="190" spans="1:70" ht="19.5" customHeight="1" x14ac:dyDescent="0.45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5"/>
      <c r="BN190" s="105"/>
      <c r="BO190" s="105"/>
      <c r="BP190" s="105"/>
      <c r="BQ190" s="105"/>
      <c r="BR190" s="105"/>
    </row>
    <row r="191" spans="1:70" ht="19.5" customHeight="1" x14ac:dyDescent="0.45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  <c r="BO191" s="105"/>
      <c r="BP191" s="105"/>
      <c r="BQ191" s="105"/>
      <c r="BR191" s="105"/>
    </row>
    <row r="192" spans="1:70" ht="19.5" customHeight="1" x14ac:dyDescent="0.4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  <c r="BL192" s="105"/>
      <c r="BM192" s="105"/>
      <c r="BN192" s="105"/>
      <c r="BO192" s="105"/>
      <c r="BP192" s="105"/>
      <c r="BQ192" s="105"/>
      <c r="BR192" s="105"/>
    </row>
    <row r="193" spans="1:70" ht="19.5" customHeight="1" x14ac:dyDescent="0.45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5"/>
      <c r="BN193" s="105"/>
      <c r="BO193" s="105"/>
      <c r="BP193" s="105"/>
      <c r="BQ193" s="105"/>
      <c r="BR193" s="105"/>
    </row>
    <row r="194" spans="1:70" ht="19.5" customHeight="1" x14ac:dyDescent="0.45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5"/>
      <c r="BK194" s="105"/>
      <c r="BL194" s="105"/>
      <c r="BM194" s="105"/>
      <c r="BN194" s="105"/>
      <c r="BO194" s="105"/>
      <c r="BP194" s="105"/>
      <c r="BQ194" s="105"/>
      <c r="BR194" s="105"/>
    </row>
    <row r="195" spans="1:70" ht="19.5" customHeight="1" x14ac:dyDescent="0.4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  <c r="BO195" s="105"/>
      <c r="BP195" s="105"/>
      <c r="BQ195" s="105"/>
      <c r="BR195" s="105"/>
    </row>
    <row r="196" spans="1:70" ht="19.5" customHeight="1" x14ac:dyDescent="0.45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5"/>
      <c r="BN196" s="105"/>
      <c r="BO196" s="105"/>
      <c r="BP196" s="105"/>
      <c r="BQ196" s="105"/>
      <c r="BR196" s="105"/>
    </row>
    <row r="197" spans="1:70" ht="19.5" customHeight="1" x14ac:dyDescent="0.45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5"/>
      <c r="BN197" s="105"/>
      <c r="BO197" s="105"/>
      <c r="BP197" s="105"/>
      <c r="BQ197" s="105"/>
      <c r="BR197" s="105"/>
    </row>
    <row r="198" spans="1:70" ht="19.5" customHeight="1" x14ac:dyDescent="0.45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5"/>
      <c r="BK198" s="105"/>
      <c r="BL198" s="105"/>
      <c r="BM198" s="105"/>
      <c r="BN198" s="105"/>
      <c r="BO198" s="105"/>
      <c r="BP198" s="105"/>
      <c r="BQ198" s="105"/>
      <c r="BR198" s="105"/>
    </row>
    <row r="199" spans="1:70" ht="19.5" customHeight="1" x14ac:dyDescent="0.45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  <c r="BL199" s="105"/>
      <c r="BM199" s="105"/>
      <c r="BN199" s="105"/>
      <c r="BO199" s="105"/>
      <c r="BP199" s="105"/>
      <c r="BQ199" s="105"/>
      <c r="BR199" s="105"/>
    </row>
    <row r="200" spans="1:70" ht="19.5" customHeight="1" x14ac:dyDescent="0.45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/>
      <c r="BM200" s="105"/>
      <c r="BN200" s="105"/>
      <c r="BO200" s="105"/>
      <c r="BP200" s="105"/>
      <c r="BQ200" s="105"/>
      <c r="BR200" s="105"/>
    </row>
    <row r="201" spans="1:70" ht="19.5" customHeight="1" x14ac:dyDescent="0.45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5"/>
      <c r="BN201" s="105"/>
      <c r="BO201" s="105"/>
      <c r="BP201" s="105"/>
      <c r="BQ201" s="105"/>
      <c r="BR201" s="105"/>
    </row>
    <row r="202" spans="1:70" ht="19.5" customHeight="1" x14ac:dyDescent="0.45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5"/>
      <c r="BN202" s="105"/>
      <c r="BO202" s="105"/>
      <c r="BP202" s="105"/>
      <c r="BQ202" s="105"/>
      <c r="BR202" s="105"/>
    </row>
    <row r="203" spans="1:70" ht="19.5" customHeight="1" x14ac:dyDescent="0.45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5"/>
      <c r="BN203" s="105"/>
      <c r="BO203" s="105"/>
      <c r="BP203" s="105"/>
      <c r="BQ203" s="105"/>
      <c r="BR203" s="105"/>
    </row>
    <row r="204" spans="1:70" ht="19.5" customHeight="1" x14ac:dyDescent="0.45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  <c r="BL204" s="105"/>
      <c r="BM204" s="105"/>
      <c r="BN204" s="105"/>
      <c r="BO204" s="105"/>
      <c r="BP204" s="105"/>
      <c r="BQ204" s="105"/>
      <c r="BR204" s="105"/>
    </row>
    <row r="205" spans="1:70" ht="19.5" customHeight="1" x14ac:dyDescent="0.4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5"/>
      <c r="BK205" s="105"/>
      <c r="BL205" s="105"/>
      <c r="BM205" s="105"/>
      <c r="BN205" s="105"/>
      <c r="BO205" s="105"/>
      <c r="BP205" s="105"/>
      <c r="BQ205" s="105"/>
      <c r="BR205" s="105"/>
    </row>
    <row r="206" spans="1:70" ht="19.5" customHeight="1" x14ac:dyDescent="0.45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5"/>
      <c r="BK206" s="105"/>
      <c r="BL206" s="105"/>
      <c r="BM206" s="105"/>
      <c r="BN206" s="105"/>
      <c r="BO206" s="105"/>
      <c r="BP206" s="105"/>
      <c r="BQ206" s="105"/>
      <c r="BR206" s="105"/>
    </row>
    <row r="207" spans="1:70" ht="19.5" customHeight="1" x14ac:dyDescent="0.45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 s="105"/>
      <c r="BK207" s="105"/>
      <c r="BL207" s="105"/>
      <c r="BM207" s="105"/>
      <c r="BN207" s="105"/>
      <c r="BO207" s="105"/>
      <c r="BP207" s="105"/>
      <c r="BQ207" s="105"/>
      <c r="BR207" s="105"/>
    </row>
    <row r="208" spans="1:70" ht="19.5" customHeight="1" x14ac:dyDescent="0.45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 s="105"/>
      <c r="BK208" s="105"/>
      <c r="BL208" s="105"/>
      <c r="BM208" s="105"/>
      <c r="BN208" s="105"/>
      <c r="BO208" s="105"/>
      <c r="BP208" s="105"/>
      <c r="BQ208" s="105"/>
      <c r="BR208" s="105"/>
    </row>
    <row r="209" spans="1:70" ht="19.5" customHeight="1" x14ac:dyDescent="0.45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 s="105"/>
      <c r="BK209" s="105"/>
      <c r="BL209" s="105"/>
      <c r="BM209" s="105"/>
      <c r="BN209" s="105"/>
      <c r="BO209" s="105"/>
      <c r="BP209" s="105"/>
      <c r="BQ209" s="105"/>
      <c r="BR209" s="105"/>
    </row>
    <row r="210" spans="1:70" ht="19.5" customHeight="1" x14ac:dyDescent="0.45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 s="105"/>
      <c r="BK210" s="105"/>
      <c r="BL210" s="105"/>
      <c r="BM210" s="105"/>
      <c r="BN210" s="105"/>
      <c r="BO210" s="105"/>
      <c r="BP210" s="105"/>
      <c r="BQ210" s="105"/>
      <c r="BR210" s="105"/>
    </row>
    <row r="211" spans="1:70" ht="19.5" customHeight="1" x14ac:dyDescent="0.45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5"/>
      <c r="BK211" s="105"/>
      <c r="BL211" s="105"/>
      <c r="BM211" s="105"/>
      <c r="BN211" s="105"/>
      <c r="BO211" s="105"/>
      <c r="BP211" s="105"/>
      <c r="BQ211" s="105"/>
      <c r="BR211" s="105"/>
    </row>
    <row r="212" spans="1:70" ht="19.5" customHeight="1" x14ac:dyDescent="0.4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5"/>
      <c r="BN212" s="105"/>
      <c r="BO212" s="105"/>
      <c r="BP212" s="105"/>
      <c r="BQ212" s="105"/>
      <c r="BR212" s="105"/>
    </row>
    <row r="213" spans="1:70" ht="19.5" customHeight="1" x14ac:dyDescent="0.45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5"/>
      <c r="BN213" s="105"/>
      <c r="BO213" s="105"/>
      <c r="BP213" s="105"/>
      <c r="BQ213" s="105"/>
      <c r="BR213" s="105"/>
    </row>
    <row r="214" spans="1:70" ht="19.5" customHeight="1" x14ac:dyDescent="0.45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5"/>
      <c r="BN214" s="105"/>
      <c r="BO214" s="105"/>
      <c r="BP214" s="105"/>
      <c r="BQ214" s="105"/>
      <c r="BR214" s="105"/>
    </row>
    <row r="215" spans="1:70" ht="19.5" customHeight="1" x14ac:dyDescent="0.4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5"/>
      <c r="BN215" s="105"/>
      <c r="BO215" s="105"/>
      <c r="BP215" s="105"/>
      <c r="BQ215" s="105"/>
      <c r="BR215" s="105"/>
    </row>
    <row r="216" spans="1:70" ht="19.5" customHeight="1" x14ac:dyDescent="0.45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5"/>
      <c r="BN216" s="105"/>
      <c r="BO216" s="105"/>
      <c r="BP216" s="105"/>
      <c r="BQ216" s="105"/>
      <c r="BR216" s="105"/>
    </row>
    <row r="217" spans="1:70" ht="19.5" customHeight="1" x14ac:dyDescent="0.45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105"/>
      <c r="BO217" s="105"/>
      <c r="BP217" s="105"/>
      <c r="BQ217" s="105"/>
      <c r="BR217" s="105"/>
    </row>
    <row r="218" spans="1:70" ht="19.5" customHeight="1" x14ac:dyDescent="0.45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5"/>
      <c r="BK218" s="105"/>
      <c r="BL218" s="105"/>
      <c r="BM218" s="105"/>
      <c r="BN218" s="105"/>
      <c r="BO218" s="105"/>
      <c r="BP218" s="105"/>
      <c r="BQ218" s="105"/>
      <c r="BR218" s="105"/>
    </row>
    <row r="219" spans="1:70" ht="19.5" customHeight="1" x14ac:dyDescent="0.4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5"/>
      <c r="BN219" s="105"/>
      <c r="BO219" s="105"/>
      <c r="BP219" s="105"/>
      <c r="BQ219" s="105"/>
      <c r="BR219" s="105"/>
    </row>
    <row r="220" spans="1:70" ht="19.5" customHeight="1" x14ac:dyDescent="0.45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5"/>
      <c r="BN220" s="105"/>
      <c r="BO220" s="105"/>
      <c r="BP220" s="105"/>
      <c r="BQ220" s="105"/>
      <c r="BR220" s="105"/>
    </row>
    <row r="221" spans="1:70" ht="19.5" customHeight="1" x14ac:dyDescent="0.45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5"/>
      <c r="BK221" s="105"/>
      <c r="BL221" s="105"/>
      <c r="BM221" s="105"/>
      <c r="BN221" s="105"/>
      <c r="BO221" s="105"/>
      <c r="BP221" s="105"/>
      <c r="BQ221" s="105"/>
      <c r="BR221" s="105"/>
    </row>
    <row r="222" spans="1:70" ht="19.5" customHeight="1" x14ac:dyDescent="0.45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5"/>
      <c r="BK222" s="105"/>
      <c r="BL222" s="105"/>
      <c r="BM222" s="105"/>
      <c r="BN222" s="105"/>
      <c r="BO222" s="105"/>
      <c r="BP222" s="105"/>
      <c r="BQ222" s="105"/>
      <c r="BR222" s="105"/>
    </row>
    <row r="223" spans="1:70" ht="19.5" customHeight="1" x14ac:dyDescent="0.45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5"/>
      <c r="BK223" s="105"/>
      <c r="BL223" s="105"/>
      <c r="BM223" s="105"/>
      <c r="BN223" s="105"/>
      <c r="BO223" s="105"/>
      <c r="BP223" s="105"/>
      <c r="BQ223" s="105"/>
      <c r="BR223" s="105"/>
    </row>
    <row r="224" spans="1:70" ht="19.5" customHeight="1" x14ac:dyDescent="0.45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5"/>
      <c r="BK224" s="105"/>
      <c r="BL224" s="105"/>
      <c r="BM224" s="105"/>
      <c r="BN224" s="105"/>
      <c r="BO224" s="105"/>
      <c r="BP224" s="105"/>
      <c r="BQ224" s="105"/>
      <c r="BR224" s="105"/>
    </row>
    <row r="225" spans="1:70" ht="19.5" customHeight="1" x14ac:dyDescent="0.4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5"/>
      <c r="BK225" s="105"/>
      <c r="BL225" s="105"/>
      <c r="BM225" s="105"/>
      <c r="BN225" s="105"/>
      <c r="BO225" s="105"/>
      <c r="BP225" s="105"/>
      <c r="BQ225" s="105"/>
      <c r="BR225" s="105"/>
    </row>
    <row r="226" spans="1:70" ht="19.5" customHeight="1" x14ac:dyDescent="0.45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5"/>
      <c r="BK226" s="105"/>
      <c r="BL226" s="105"/>
      <c r="BM226" s="105"/>
      <c r="BN226" s="105"/>
      <c r="BO226" s="105"/>
      <c r="BP226" s="105"/>
      <c r="BQ226" s="105"/>
      <c r="BR226" s="105"/>
    </row>
    <row r="227" spans="1:70" ht="19.5" customHeight="1" x14ac:dyDescent="0.45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5"/>
      <c r="BK227" s="105"/>
      <c r="BL227" s="105"/>
      <c r="BM227" s="105"/>
      <c r="BN227" s="105"/>
      <c r="BO227" s="105"/>
      <c r="BP227" s="105"/>
      <c r="BQ227" s="105"/>
      <c r="BR227" s="105"/>
    </row>
    <row r="228" spans="1:70" ht="19.5" customHeight="1" x14ac:dyDescent="0.45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5"/>
      <c r="BK228" s="105"/>
      <c r="BL228" s="105"/>
      <c r="BM228" s="105"/>
      <c r="BN228" s="105"/>
      <c r="BO228" s="105"/>
      <c r="BP228" s="105"/>
      <c r="BQ228" s="105"/>
      <c r="BR228" s="105"/>
    </row>
    <row r="229" spans="1:70" ht="19.5" customHeight="1" x14ac:dyDescent="0.45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5"/>
      <c r="BK229" s="105"/>
      <c r="BL229" s="105"/>
      <c r="BM229" s="105"/>
      <c r="BN229" s="105"/>
      <c r="BO229" s="105"/>
      <c r="BP229" s="105"/>
      <c r="BQ229" s="105"/>
      <c r="BR229" s="105"/>
    </row>
    <row r="230" spans="1:70" ht="19.5" customHeight="1" x14ac:dyDescent="0.45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5"/>
      <c r="BK230" s="105"/>
      <c r="BL230" s="105"/>
      <c r="BM230" s="105"/>
      <c r="BN230" s="105"/>
      <c r="BO230" s="105"/>
      <c r="BP230" s="105"/>
      <c r="BQ230" s="105"/>
      <c r="BR230" s="105"/>
    </row>
    <row r="231" spans="1:70" ht="19.5" customHeight="1" x14ac:dyDescent="0.45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5"/>
      <c r="BN231" s="105"/>
      <c r="BO231" s="105"/>
      <c r="BP231" s="105"/>
      <c r="BQ231" s="105"/>
      <c r="BR231" s="105"/>
    </row>
    <row r="232" spans="1:70" ht="19.5" customHeight="1" x14ac:dyDescent="0.45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  <c r="BL232" s="105"/>
      <c r="BM232" s="105"/>
      <c r="BN232" s="105"/>
      <c r="BO232" s="105"/>
      <c r="BP232" s="105"/>
      <c r="BQ232" s="105"/>
      <c r="BR232" s="105"/>
    </row>
    <row r="233" spans="1:70" ht="19.5" customHeight="1" x14ac:dyDescent="0.45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5"/>
      <c r="BK233" s="105"/>
      <c r="BL233" s="105"/>
      <c r="BM233" s="105"/>
      <c r="BN233" s="105"/>
      <c r="BO233" s="105"/>
      <c r="BP233" s="105"/>
      <c r="BQ233" s="105"/>
      <c r="BR233" s="105"/>
    </row>
    <row r="234" spans="1:70" ht="19.5" customHeight="1" x14ac:dyDescent="0.45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5"/>
      <c r="BK234" s="105"/>
      <c r="BL234" s="105"/>
      <c r="BM234" s="105"/>
      <c r="BN234" s="105"/>
      <c r="BO234" s="105"/>
      <c r="BP234" s="105"/>
      <c r="BQ234" s="105"/>
      <c r="BR234" s="105"/>
    </row>
    <row r="235" spans="1:70" ht="19.5" customHeight="1" x14ac:dyDescent="0.4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5"/>
      <c r="BK235" s="105"/>
      <c r="BL235" s="105"/>
      <c r="BM235" s="105"/>
      <c r="BN235" s="105"/>
      <c r="BO235" s="105"/>
      <c r="BP235" s="105"/>
      <c r="BQ235" s="105"/>
      <c r="BR235" s="105"/>
    </row>
    <row r="236" spans="1:70" ht="19.5" customHeight="1" x14ac:dyDescent="0.45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5"/>
      <c r="BK236" s="105"/>
      <c r="BL236" s="105"/>
      <c r="BM236" s="105"/>
      <c r="BN236" s="105"/>
      <c r="BO236" s="105"/>
      <c r="BP236" s="105"/>
      <c r="BQ236" s="105"/>
      <c r="BR236" s="105"/>
    </row>
    <row r="237" spans="1:70" ht="19.5" customHeight="1" x14ac:dyDescent="0.45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5"/>
      <c r="BK237" s="105"/>
      <c r="BL237" s="105"/>
      <c r="BM237" s="105"/>
      <c r="BN237" s="105"/>
      <c r="BO237" s="105"/>
      <c r="BP237" s="105"/>
      <c r="BQ237" s="105"/>
      <c r="BR237" s="105"/>
    </row>
    <row r="238" spans="1:70" ht="19.5" customHeight="1" x14ac:dyDescent="0.45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5"/>
      <c r="BK238" s="105"/>
      <c r="BL238" s="105"/>
      <c r="BM238" s="105"/>
      <c r="BN238" s="105"/>
      <c r="BO238" s="105"/>
      <c r="BP238" s="105"/>
      <c r="BQ238" s="105"/>
      <c r="BR238" s="105"/>
    </row>
    <row r="239" spans="1:70" ht="19.5" customHeight="1" x14ac:dyDescent="0.45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/>
      <c r="BL239" s="105"/>
      <c r="BM239" s="105"/>
      <c r="BN239" s="105"/>
      <c r="BO239" s="105"/>
      <c r="BP239" s="105"/>
      <c r="BQ239" s="105"/>
      <c r="BR239" s="105"/>
    </row>
    <row r="240" spans="1:70" ht="19.5" customHeight="1" x14ac:dyDescent="0.45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5"/>
      <c r="BK240" s="105"/>
      <c r="BL240" s="105"/>
      <c r="BM240" s="105"/>
      <c r="BN240" s="105"/>
      <c r="BO240" s="105"/>
      <c r="BP240" s="105"/>
      <c r="BQ240" s="105"/>
      <c r="BR240" s="105"/>
    </row>
    <row r="241" spans="1:70" ht="19.5" customHeight="1" x14ac:dyDescent="0.45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5"/>
      <c r="BK241" s="105"/>
      <c r="BL241" s="105"/>
      <c r="BM241" s="105"/>
      <c r="BN241" s="105"/>
      <c r="BO241" s="105"/>
      <c r="BP241" s="105"/>
      <c r="BQ241" s="105"/>
      <c r="BR241" s="105"/>
    </row>
    <row r="242" spans="1:70" ht="19.5" customHeight="1" x14ac:dyDescent="0.45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5"/>
      <c r="BK242" s="105"/>
      <c r="BL242" s="105"/>
      <c r="BM242" s="105"/>
      <c r="BN242" s="105"/>
      <c r="BO242" s="105"/>
      <c r="BP242" s="105"/>
      <c r="BQ242" s="105"/>
      <c r="BR242" s="105"/>
    </row>
    <row r="243" spans="1:70" ht="19.5" customHeight="1" x14ac:dyDescent="0.45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5"/>
      <c r="BK243" s="105"/>
      <c r="BL243" s="105"/>
      <c r="BM243" s="105"/>
      <c r="BN243" s="105"/>
      <c r="BO243" s="105"/>
      <c r="BP243" s="105"/>
      <c r="BQ243" s="105"/>
      <c r="BR243" s="105"/>
    </row>
    <row r="244" spans="1:70" ht="19.5" customHeight="1" x14ac:dyDescent="0.45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5"/>
      <c r="BK244" s="105"/>
      <c r="BL244" s="105"/>
      <c r="BM244" s="105"/>
      <c r="BN244" s="105"/>
      <c r="BO244" s="105"/>
      <c r="BP244" s="105"/>
      <c r="BQ244" s="105"/>
      <c r="BR244" s="105"/>
    </row>
    <row r="245" spans="1:70" ht="19.5" customHeight="1" x14ac:dyDescent="0.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5"/>
      <c r="BK245" s="105"/>
      <c r="BL245" s="105"/>
      <c r="BM245" s="105"/>
      <c r="BN245" s="105"/>
      <c r="BO245" s="105"/>
      <c r="BP245" s="105"/>
      <c r="BQ245" s="105"/>
      <c r="BR245" s="105"/>
    </row>
    <row r="246" spans="1:70" ht="19.5" customHeight="1" x14ac:dyDescent="0.45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 s="105"/>
      <c r="BK246" s="105"/>
      <c r="BL246" s="105"/>
      <c r="BM246" s="105"/>
      <c r="BN246" s="105"/>
      <c r="BO246" s="105"/>
      <c r="BP246" s="105"/>
      <c r="BQ246" s="105"/>
      <c r="BR246" s="105"/>
    </row>
    <row r="247" spans="1:70" ht="19.5" customHeight="1" x14ac:dyDescent="0.45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/>
      <c r="BL247" s="105"/>
      <c r="BM247" s="105"/>
      <c r="BN247" s="105"/>
      <c r="BO247" s="105"/>
      <c r="BP247" s="105"/>
      <c r="BQ247" s="105"/>
      <c r="BR247" s="105"/>
    </row>
    <row r="248" spans="1:70" ht="19.5" customHeight="1" x14ac:dyDescent="0.45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5"/>
      <c r="BK248" s="105"/>
      <c r="BL248" s="105"/>
      <c r="BM248" s="105"/>
      <c r="BN248" s="105"/>
      <c r="BO248" s="105"/>
      <c r="BP248" s="105"/>
      <c r="BQ248" s="105"/>
      <c r="BR248" s="105"/>
    </row>
    <row r="249" spans="1:70" ht="19.5" customHeight="1" x14ac:dyDescent="0.45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5"/>
      <c r="BK249" s="105"/>
      <c r="BL249" s="105"/>
      <c r="BM249" s="105"/>
      <c r="BN249" s="105"/>
      <c r="BO249" s="105"/>
      <c r="BP249" s="105"/>
      <c r="BQ249" s="105"/>
      <c r="BR249" s="105"/>
    </row>
    <row r="250" spans="1:70" ht="19.5" customHeight="1" x14ac:dyDescent="0.45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5"/>
      <c r="BK250" s="105"/>
      <c r="BL250" s="105"/>
      <c r="BM250" s="105"/>
      <c r="BN250" s="105"/>
      <c r="BO250" s="105"/>
      <c r="BP250" s="105"/>
      <c r="BQ250" s="105"/>
      <c r="BR250" s="105"/>
    </row>
    <row r="251" spans="1:70" ht="19.5" customHeight="1" x14ac:dyDescent="0.45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05"/>
      <c r="BL251" s="105"/>
      <c r="BM251" s="105"/>
      <c r="BN251" s="105"/>
      <c r="BO251" s="105"/>
      <c r="BP251" s="105"/>
      <c r="BQ251" s="105"/>
      <c r="BR251" s="105"/>
    </row>
    <row r="252" spans="1:70" ht="19.5" customHeight="1" x14ac:dyDescent="0.45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 s="105"/>
      <c r="BK252" s="105"/>
      <c r="BL252" s="105"/>
      <c r="BM252" s="105"/>
      <c r="BN252" s="105"/>
      <c r="BO252" s="105"/>
      <c r="BP252" s="105"/>
      <c r="BQ252" s="105"/>
      <c r="BR252" s="105"/>
    </row>
    <row r="253" spans="1:70" ht="19.5" customHeight="1" x14ac:dyDescent="0.45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5"/>
      <c r="BK253" s="105"/>
      <c r="BL253" s="105"/>
      <c r="BM253" s="105"/>
      <c r="BN253" s="105"/>
      <c r="BO253" s="105"/>
      <c r="BP253" s="105"/>
      <c r="BQ253" s="105"/>
      <c r="BR253" s="105"/>
    </row>
    <row r="254" spans="1:70" ht="19.5" customHeight="1" x14ac:dyDescent="0.45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5"/>
      <c r="BK254" s="105"/>
      <c r="BL254" s="105"/>
      <c r="BM254" s="105"/>
      <c r="BN254" s="105"/>
      <c r="BO254" s="105"/>
      <c r="BP254" s="105"/>
      <c r="BQ254" s="105"/>
      <c r="BR254" s="105"/>
    </row>
    <row r="255" spans="1:70" ht="19.5" customHeight="1" x14ac:dyDescent="0.4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5"/>
      <c r="BK255" s="105"/>
      <c r="BL255" s="105"/>
      <c r="BM255" s="105"/>
      <c r="BN255" s="105"/>
      <c r="BO255" s="105"/>
      <c r="BP255" s="105"/>
      <c r="BQ255" s="105"/>
      <c r="BR255" s="105"/>
    </row>
    <row r="256" spans="1:70" ht="19.5" customHeight="1" x14ac:dyDescent="0.45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5"/>
      <c r="BK256" s="105"/>
      <c r="BL256" s="105"/>
      <c r="BM256" s="105"/>
      <c r="BN256" s="105"/>
      <c r="BO256" s="105"/>
      <c r="BP256" s="105"/>
      <c r="BQ256" s="105"/>
      <c r="BR256" s="105"/>
    </row>
    <row r="257" spans="1:70" ht="19.5" customHeight="1" x14ac:dyDescent="0.45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5"/>
      <c r="BK257" s="105"/>
      <c r="BL257" s="105"/>
      <c r="BM257" s="105"/>
      <c r="BN257" s="105"/>
      <c r="BO257" s="105"/>
      <c r="BP257" s="105"/>
      <c r="BQ257" s="105"/>
      <c r="BR257" s="105"/>
    </row>
    <row r="258" spans="1:70" ht="19.5" customHeight="1" x14ac:dyDescent="0.45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5"/>
      <c r="BK258" s="105"/>
      <c r="BL258" s="105"/>
      <c r="BM258" s="105"/>
      <c r="BN258" s="105"/>
      <c r="BO258" s="105"/>
      <c r="BP258" s="105"/>
      <c r="BQ258" s="105"/>
      <c r="BR258" s="105"/>
    </row>
    <row r="259" spans="1:70" ht="19.5" customHeight="1" x14ac:dyDescent="0.45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5"/>
      <c r="BN259" s="105"/>
      <c r="BO259" s="105"/>
      <c r="BP259" s="105"/>
      <c r="BQ259" s="105"/>
      <c r="BR259" s="105"/>
    </row>
    <row r="260" spans="1:70" ht="19.5" customHeight="1" x14ac:dyDescent="0.45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 s="105"/>
      <c r="BK260" s="105"/>
      <c r="BL260" s="105"/>
      <c r="BM260" s="105"/>
      <c r="BN260" s="105"/>
      <c r="BO260" s="105"/>
      <c r="BP260" s="105"/>
      <c r="BQ260" s="105"/>
      <c r="BR260" s="105"/>
    </row>
    <row r="261" spans="1:70" ht="19.5" customHeight="1" x14ac:dyDescent="0.45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5"/>
      <c r="BK261" s="105"/>
      <c r="BL261" s="105"/>
      <c r="BM261" s="105"/>
      <c r="BN261" s="105"/>
      <c r="BO261" s="105"/>
      <c r="BP261" s="105"/>
      <c r="BQ261" s="105"/>
      <c r="BR261" s="105"/>
    </row>
    <row r="262" spans="1:70" ht="19.5" customHeight="1" x14ac:dyDescent="0.45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5"/>
      <c r="BK262" s="105"/>
      <c r="BL262" s="105"/>
      <c r="BM262" s="105"/>
      <c r="BN262" s="105"/>
      <c r="BO262" s="105"/>
      <c r="BP262" s="105"/>
      <c r="BQ262" s="105"/>
      <c r="BR262" s="105"/>
    </row>
    <row r="263" spans="1:70" ht="19.5" customHeight="1" x14ac:dyDescent="0.45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5"/>
      <c r="BK263" s="105"/>
      <c r="BL263" s="105"/>
      <c r="BM263" s="105"/>
      <c r="BN263" s="105"/>
      <c r="BO263" s="105"/>
      <c r="BP263" s="105"/>
      <c r="BQ263" s="105"/>
      <c r="BR263" s="105"/>
    </row>
    <row r="264" spans="1:70" ht="19.5" customHeight="1" x14ac:dyDescent="0.4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  <c r="BL264" s="105"/>
      <c r="BM264" s="105"/>
      <c r="BN264" s="105"/>
      <c r="BO264" s="105"/>
      <c r="BP264" s="105"/>
      <c r="BQ264" s="105"/>
      <c r="BR264" s="105"/>
    </row>
    <row r="265" spans="1:70" ht="19.5" customHeight="1" x14ac:dyDescent="0.4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5"/>
      <c r="BK265" s="105"/>
      <c r="BL265" s="105"/>
      <c r="BM265" s="105"/>
      <c r="BN265" s="105"/>
      <c r="BO265" s="105"/>
      <c r="BP265" s="105"/>
      <c r="BQ265" s="105"/>
      <c r="BR265" s="105"/>
    </row>
    <row r="266" spans="1:70" ht="19.5" customHeight="1" x14ac:dyDescent="0.45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 s="105"/>
      <c r="BK266" s="105"/>
      <c r="BL266" s="105"/>
      <c r="BM266" s="105"/>
      <c r="BN266" s="105"/>
      <c r="BO266" s="105"/>
      <c r="BP266" s="105"/>
      <c r="BQ266" s="105"/>
      <c r="BR266" s="105"/>
    </row>
    <row r="267" spans="1:70" ht="15.75" customHeight="1" x14ac:dyDescent="0.45"/>
    <row r="268" spans="1:70" ht="15.75" customHeight="1" x14ac:dyDescent="0.45"/>
    <row r="269" spans="1:70" ht="15.75" customHeight="1" x14ac:dyDescent="0.45"/>
    <row r="270" spans="1:70" ht="15.75" customHeight="1" x14ac:dyDescent="0.45"/>
    <row r="271" spans="1:70" ht="15.75" customHeight="1" x14ac:dyDescent="0.45"/>
    <row r="272" spans="1:70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  <row r="1014" ht="15.75" customHeight="1" x14ac:dyDescent="0.45"/>
    <row r="1015" ht="15.75" customHeight="1" x14ac:dyDescent="0.45"/>
    <row r="1016" ht="15.75" customHeight="1" x14ac:dyDescent="0.45"/>
    <row r="1017" ht="15.75" customHeight="1" x14ac:dyDescent="0.45"/>
    <row r="1018" ht="15.75" customHeight="1" x14ac:dyDescent="0.45"/>
    <row r="1019" ht="15.75" customHeight="1" x14ac:dyDescent="0.45"/>
    <row r="1020" ht="15.75" customHeight="1" x14ac:dyDescent="0.45"/>
    <row r="1021" ht="15.75" customHeight="1" x14ac:dyDescent="0.45"/>
    <row r="1022" ht="15.75" customHeight="1" x14ac:dyDescent="0.45"/>
    <row r="1023" ht="15.75" customHeight="1" x14ac:dyDescent="0.45"/>
    <row r="1024" ht="15.75" customHeight="1" x14ac:dyDescent="0.45"/>
    <row r="1025" ht="15.75" customHeight="1" x14ac:dyDescent="0.45"/>
    <row r="1026" ht="15.75" customHeight="1" x14ac:dyDescent="0.45"/>
    <row r="1027" ht="15.75" customHeight="1" x14ac:dyDescent="0.45"/>
    <row r="1028" ht="15.75" customHeight="1" x14ac:dyDescent="0.45"/>
    <row r="1029" ht="15.75" customHeight="1" x14ac:dyDescent="0.45"/>
    <row r="1030" ht="15.75" customHeight="1" x14ac:dyDescent="0.45"/>
    <row r="1031" ht="15.75" customHeight="1" x14ac:dyDescent="0.45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Z356"/>
  <sheetViews>
    <sheetView showGridLines="0" tabSelected="1" workbookViewId="0">
      <selection activeCell="D26" sqref="D26:AU26"/>
    </sheetView>
  </sheetViews>
  <sheetFormatPr defaultColWidth="14.3984375" defaultRowHeight="14.25" x14ac:dyDescent="0.45"/>
  <cols>
    <col min="1" max="20" width="2.86328125" customWidth="1"/>
    <col min="21" max="21" width="17.73046875" customWidth="1"/>
    <col min="22" max="46" width="2.86328125" customWidth="1"/>
  </cols>
  <sheetData>
    <row r="1" spans="1:51" s="8" customFormat="1" ht="15.4" x14ac:dyDescent="0.45">
      <c r="A1" s="144" t="s">
        <v>0</v>
      </c>
      <c r="B1" s="133"/>
      <c r="C1" s="134"/>
      <c r="D1" s="145" t="str">
        <f>'01.Cover'!Y12</f>
        <v>TS_UPLOAD_SO</v>
      </c>
      <c r="E1" s="133"/>
      <c r="F1" s="133"/>
      <c r="G1" s="133"/>
      <c r="H1" s="133"/>
      <c r="I1" s="133"/>
      <c r="J1" s="134"/>
      <c r="K1" s="144" t="s">
        <v>1</v>
      </c>
      <c r="L1" s="133"/>
      <c r="M1" s="133"/>
      <c r="N1" s="133"/>
      <c r="O1" s="147" t="str">
        <f ca="1">MID(CELL("filename",A1),FIND("]",CELL("filename",A1))+1,255)</f>
        <v>TS.Processing Logic</v>
      </c>
      <c r="P1" s="133"/>
      <c r="Q1" s="133"/>
      <c r="R1" s="133"/>
      <c r="S1" s="133"/>
      <c r="T1" s="133"/>
      <c r="U1" s="134"/>
      <c r="V1" s="148" t="s">
        <v>2</v>
      </c>
      <c r="W1" s="133"/>
      <c r="X1" s="133"/>
      <c r="Y1" s="133"/>
      <c r="Z1" s="132" t="str">
        <f>'01.Cover'!B9</f>
        <v>Technical Specification</v>
      </c>
      <c r="AA1" s="133"/>
      <c r="AB1" s="133"/>
      <c r="AC1" s="133"/>
      <c r="AD1" s="133"/>
      <c r="AE1" s="133"/>
      <c r="AF1" s="133"/>
      <c r="AG1" s="133"/>
      <c r="AH1" s="133"/>
      <c r="AI1" s="133"/>
      <c r="AJ1" s="134"/>
      <c r="AK1" s="132"/>
      <c r="AL1" s="133"/>
      <c r="AM1" s="133"/>
      <c r="AN1" s="133"/>
      <c r="AO1" s="133"/>
      <c r="AP1" s="133"/>
      <c r="AQ1" s="133"/>
      <c r="AR1" s="133"/>
      <c r="AS1" s="133"/>
      <c r="AT1" s="134"/>
    </row>
    <row r="2" spans="1:51" s="8" customFormat="1" ht="15.4" x14ac:dyDescent="0.45">
      <c r="A2" s="135"/>
      <c r="B2" s="136"/>
      <c r="C2" s="137"/>
      <c r="D2" s="135"/>
      <c r="E2" s="136"/>
      <c r="F2" s="136"/>
      <c r="G2" s="136"/>
      <c r="H2" s="136"/>
      <c r="I2" s="136"/>
      <c r="J2" s="137"/>
      <c r="K2" s="135"/>
      <c r="L2" s="136"/>
      <c r="M2" s="136"/>
      <c r="N2" s="146"/>
      <c r="O2" s="138"/>
      <c r="P2" s="139"/>
      <c r="Q2" s="139"/>
      <c r="R2" s="139"/>
      <c r="S2" s="139"/>
      <c r="T2" s="139"/>
      <c r="U2" s="140"/>
      <c r="V2" s="146"/>
      <c r="W2" s="136"/>
      <c r="X2" s="136"/>
      <c r="Y2" s="146"/>
      <c r="Z2" s="135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K2" s="135"/>
      <c r="AL2" s="136"/>
      <c r="AM2" s="136"/>
      <c r="AN2" s="136"/>
      <c r="AO2" s="136"/>
      <c r="AP2" s="136"/>
      <c r="AQ2" s="136"/>
      <c r="AR2" s="136"/>
      <c r="AS2" s="136"/>
      <c r="AT2" s="137"/>
    </row>
    <row r="3" spans="1:51" s="8" customFormat="1" ht="15.4" x14ac:dyDescent="0.45">
      <c r="A3" s="138"/>
      <c r="B3" s="139"/>
      <c r="C3" s="140"/>
      <c r="D3" s="138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41" t="s">
        <v>143</v>
      </c>
      <c r="P3" s="142"/>
      <c r="Q3" s="142"/>
      <c r="R3" s="142"/>
      <c r="S3" s="142"/>
      <c r="T3" s="142"/>
      <c r="U3" s="143"/>
      <c r="V3" s="139"/>
      <c r="W3" s="139"/>
      <c r="X3" s="139"/>
      <c r="Y3" s="139"/>
      <c r="Z3" s="138"/>
      <c r="AA3" s="139"/>
      <c r="AB3" s="139"/>
      <c r="AC3" s="139"/>
      <c r="AD3" s="139"/>
      <c r="AE3" s="139"/>
      <c r="AF3" s="139"/>
      <c r="AG3" s="139"/>
      <c r="AH3" s="139"/>
      <c r="AI3" s="139"/>
      <c r="AJ3" s="140"/>
      <c r="AK3" s="138"/>
      <c r="AL3" s="139"/>
      <c r="AM3" s="139"/>
      <c r="AN3" s="139"/>
      <c r="AO3" s="139"/>
      <c r="AP3" s="139"/>
      <c r="AQ3" s="139"/>
      <c r="AR3" s="139"/>
      <c r="AS3" s="139"/>
      <c r="AT3" s="140"/>
    </row>
    <row r="4" spans="1:51" s="8" customFormat="1" ht="15.4" x14ac:dyDescent="0.45">
      <c r="A4" s="20"/>
      <c r="B4" s="20"/>
      <c r="C4" s="20"/>
      <c r="AU4" s="7"/>
      <c r="AV4" s="7"/>
      <c r="AW4" s="7"/>
      <c r="AX4" s="7"/>
      <c r="AY4" s="7"/>
    </row>
    <row r="5" spans="1:51" s="8" customFormat="1" ht="15.4" x14ac:dyDescent="0.45">
      <c r="A5" s="21" t="s">
        <v>40</v>
      </c>
      <c r="B5" s="20"/>
      <c r="AU5" s="7"/>
      <c r="AV5" s="7"/>
      <c r="AW5" s="7"/>
      <c r="AX5" s="7"/>
      <c r="AY5" s="7"/>
    </row>
    <row r="6" spans="1:51" s="23" customFormat="1" ht="15" x14ac:dyDescent="0.4">
      <c r="A6" s="22"/>
      <c r="B6" s="22"/>
      <c r="C6" s="131" t="s">
        <v>238</v>
      </c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1"/>
      <c r="AU6" s="22"/>
      <c r="AV6" s="22"/>
      <c r="AW6" s="22"/>
      <c r="AX6" s="22"/>
      <c r="AY6" s="22"/>
    </row>
    <row r="7" spans="1:51" s="25" customFormat="1" ht="15.4" x14ac:dyDescent="0.45">
      <c r="A7" s="24"/>
      <c r="B7" s="24"/>
      <c r="C7" s="130" t="s">
        <v>83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24"/>
      <c r="AV7" s="24"/>
      <c r="AW7" s="24"/>
      <c r="AX7" s="24"/>
      <c r="AY7" s="24"/>
    </row>
    <row r="8" spans="1:51" s="25" customFormat="1" ht="15.4" x14ac:dyDescent="0.45">
      <c r="A8" s="24"/>
      <c r="B8" s="24"/>
      <c r="C8" s="130" t="s">
        <v>239</v>
      </c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24"/>
      <c r="AV8" s="24"/>
      <c r="AW8" s="24"/>
      <c r="AX8" s="24"/>
      <c r="AY8" s="24"/>
    </row>
    <row r="9" spans="1:51" s="25" customFormat="1" ht="15.4" x14ac:dyDescent="0.45">
      <c r="A9" s="24"/>
      <c r="B9" s="24"/>
      <c r="C9" s="130" t="s">
        <v>85</v>
      </c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24"/>
      <c r="AV9" s="24"/>
      <c r="AW9" s="24"/>
      <c r="AX9" s="24"/>
      <c r="AY9" s="24"/>
    </row>
    <row r="10" spans="1:51" s="25" customFormat="1" ht="15.4" x14ac:dyDescent="0.45">
      <c r="A10" s="24"/>
      <c r="B10" s="24"/>
      <c r="C10" s="130" t="s">
        <v>240</v>
      </c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24"/>
      <c r="AV10" s="24"/>
      <c r="AW10" s="24"/>
      <c r="AX10" s="24"/>
      <c r="AY10" s="24"/>
    </row>
    <row r="11" spans="1:51" s="25" customFormat="1" ht="15.4" x14ac:dyDescent="0.45">
      <c r="A11" s="24"/>
      <c r="B11" s="24"/>
      <c r="C11" s="130" t="s">
        <v>241</v>
      </c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24"/>
      <c r="AV11" s="24"/>
      <c r="AW11" s="24"/>
      <c r="AX11" s="24"/>
      <c r="AY11" s="24"/>
    </row>
    <row r="12" spans="1:51" s="25" customFormat="1" ht="15.4" x14ac:dyDescent="0.45">
      <c r="A12" s="24"/>
      <c r="B12" s="24"/>
      <c r="C12" s="130" t="s">
        <v>242</v>
      </c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24"/>
      <c r="AV12" s="24"/>
      <c r="AW12" s="24"/>
      <c r="AX12" s="24"/>
      <c r="AY12" s="24"/>
    </row>
    <row r="13" spans="1:51" s="25" customFormat="1" ht="15.4" x14ac:dyDescent="0.45">
      <c r="A13" s="24"/>
      <c r="B13" s="24"/>
      <c r="C13" s="130" t="s">
        <v>243</v>
      </c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24"/>
      <c r="AV13" s="24"/>
      <c r="AW13" s="24"/>
      <c r="AX13" s="24"/>
      <c r="AY13" s="24"/>
    </row>
    <row r="14" spans="1:51" s="25" customFormat="1" ht="15.4" x14ac:dyDescent="0.45">
      <c r="A14" s="24"/>
      <c r="B14" s="24"/>
      <c r="C14" s="130" t="s">
        <v>244</v>
      </c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24"/>
      <c r="AV14" s="24"/>
      <c r="AW14" s="24"/>
      <c r="AX14" s="24"/>
      <c r="AY14" s="24"/>
    </row>
    <row r="15" spans="1:51" s="25" customFormat="1" ht="15.4" x14ac:dyDescent="0.45">
      <c r="A15" s="24"/>
      <c r="B15" s="24"/>
      <c r="C15" s="130" t="s">
        <v>245</v>
      </c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24"/>
      <c r="AV15" s="24"/>
      <c r="AW15" s="24"/>
      <c r="AX15" s="24"/>
      <c r="AY15" s="24"/>
    </row>
    <row r="16" spans="1:51" s="25" customFormat="1" ht="15.4" x14ac:dyDescent="0.45">
      <c r="A16" s="24"/>
      <c r="B16" s="24"/>
      <c r="C16" s="130" t="s">
        <v>246</v>
      </c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24"/>
      <c r="AV16" s="24"/>
      <c r="AW16" s="24"/>
      <c r="AX16" s="24"/>
      <c r="AY16" s="24"/>
    </row>
    <row r="17" spans="1:52" s="25" customFormat="1" ht="15.4" x14ac:dyDescent="0.45">
      <c r="A17" s="24"/>
      <c r="B17" s="24"/>
      <c r="C17" s="130" t="s">
        <v>247</v>
      </c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130"/>
      <c r="AT17" s="130"/>
      <c r="AU17" s="24"/>
      <c r="AV17" s="24"/>
      <c r="AW17" s="24"/>
      <c r="AX17" s="24"/>
      <c r="AY17" s="24"/>
    </row>
    <row r="18" spans="1:52" s="25" customFormat="1" ht="15.4" x14ac:dyDescent="0.45">
      <c r="A18" s="24"/>
      <c r="B18" s="24"/>
      <c r="C18" s="130" t="s">
        <v>248</v>
      </c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24"/>
      <c r="AV18" s="24"/>
      <c r="AW18" s="24"/>
      <c r="AX18" s="24"/>
      <c r="AY18" s="24"/>
    </row>
    <row r="19" spans="1:52" s="23" customFormat="1" ht="15" x14ac:dyDescent="0.4">
      <c r="A19" s="22"/>
      <c r="B19" s="22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26"/>
      <c r="AV19" s="22"/>
      <c r="AW19" s="22"/>
      <c r="AX19" s="22"/>
      <c r="AY19" s="22"/>
    </row>
    <row r="20" spans="1:52" s="23" customFormat="1" ht="15" x14ac:dyDescent="0.4">
      <c r="A20" s="22"/>
      <c r="B20" s="22"/>
      <c r="C20" s="131" t="s">
        <v>249</v>
      </c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22"/>
      <c r="AV20" s="22"/>
      <c r="AW20" s="22"/>
      <c r="AX20" s="22"/>
      <c r="AY20" s="22"/>
    </row>
    <row r="21" spans="1:52" s="25" customFormat="1" ht="15.4" x14ac:dyDescent="0.45">
      <c r="A21" s="24"/>
      <c r="B21" s="24"/>
      <c r="C21" s="24"/>
      <c r="D21" s="130" t="s">
        <v>83</v>
      </c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24"/>
      <c r="AW21" s="24"/>
      <c r="AX21" s="24"/>
      <c r="AY21" s="24"/>
      <c r="AZ21" s="24"/>
    </row>
    <row r="22" spans="1:52" s="25" customFormat="1" ht="15.4" x14ac:dyDescent="0.45">
      <c r="A22" s="24"/>
      <c r="B22" s="24"/>
      <c r="C22" s="24"/>
      <c r="D22" s="130" t="s">
        <v>250</v>
      </c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24"/>
      <c r="AW22" s="24"/>
      <c r="AX22" s="24"/>
      <c r="AY22" s="24"/>
      <c r="AZ22" s="24"/>
    </row>
    <row r="23" spans="1:52" s="25" customFormat="1" ht="15.4" x14ac:dyDescent="0.45">
      <c r="A23" s="24"/>
      <c r="B23" s="24"/>
      <c r="C23" s="24"/>
      <c r="D23" s="130" t="s">
        <v>85</v>
      </c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24"/>
      <c r="AW23" s="24"/>
      <c r="AX23" s="24"/>
      <c r="AY23" s="24"/>
      <c r="AZ23" s="24"/>
    </row>
    <row r="24" spans="1:52" s="25" customFormat="1" ht="15.4" x14ac:dyDescent="0.45">
      <c r="A24" s="24"/>
      <c r="B24" s="24"/>
      <c r="C24" s="24"/>
      <c r="D24" s="130" t="s">
        <v>251</v>
      </c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24"/>
      <c r="AW24" s="24"/>
      <c r="AX24" s="24"/>
      <c r="AY24" s="24"/>
      <c r="AZ24" s="24"/>
    </row>
    <row r="25" spans="1:52" s="25" customFormat="1" ht="15.4" x14ac:dyDescent="0.45">
      <c r="A25" s="24"/>
      <c r="B25" s="24"/>
      <c r="C25" s="24"/>
      <c r="D25" s="130" t="s">
        <v>252</v>
      </c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24"/>
      <c r="AW25" s="24"/>
      <c r="AX25" s="24"/>
      <c r="AY25" s="24"/>
      <c r="AZ25" s="24"/>
    </row>
    <row r="26" spans="1:52" s="25" customFormat="1" ht="15.4" x14ac:dyDescent="0.45">
      <c r="A26" s="24"/>
      <c r="B26" s="24"/>
      <c r="C26" s="24"/>
      <c r="D26" s="130" t="s">
        <v>253</v>
      </c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24"/>
      <c r="AW26" s="24"/>
      <c r="AX26" s="24"/>
      <c r="AY26" s="24"/>
      <c r="AZ26" s="24"/>
    </row>
    <row r="27" spans="1:52" s="25" customFormat="1" ht="15.4" x14ac:dyDescent="0.45">
      <c r="A27" s="24"/>
      <c r="B27" s="24"/>
      <c r="C27" s="24"/>
      <c r="D27" s="130" t="s">
        <v>254</v>
      </c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24"/>
      <c r="AW27" s="24"/>
      <c r="AX27" s="24"/>
      <c r="AY27" s="24"/>
      <c r="AZ27" s="24"/>
    </row>
    <row r="28" spans="1:52" s="25" customFormat="1" ht="15.4" x14ac:dyDescent="0.45">
      <c r="A28" s="24"/>
      <c r="B28" s="24"/>
      <c r="C28" s="24"/>
      <c r="D28" s="130" t="s">
        <v>255</v>
      </c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24"/>
      <c r="AW28" s="24"/>
      <c r="AX28" s="24"/>
      <c r="AY28" s="24"/>
      <c r="AZ28" s="24"/>
    </row>
    <row r="29" spans="1:52" s="25" customFormat="1" ht="15.4" x14ac:dyDescent="0.45">
      <c r="A29" s="24"/>
      <c r="B29" s="24"/>
      <c r="C29" s="24"/>
      <c r="D29" s="130" t="s">
        <v>256</v>
      </c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24"/>
      <c r="AW29" s="24"/>
      <c r="AX29" s="24"/>
      <c r="AY29" s="24"/>
      <c r="AZ29" s="24"/>
    </row>
    <row r="30" spans="1:52" s="25" customFormat="1" ht="15.4" x14ac:dyDescent="0.45">
      <c r="A30" s="24"/>
      <c r="B30" s="24"/>
      <c r="C30" s="24"/>
      <c r="D30" s="130" t="s">
        <v>257</v>
      </c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24"/>
      <c r="AW30" s="24"/>
      <c r="AX30" s="24"/>
      <c r="AY30" s="24"/>
      <c r="AZ30" s="24"/>
    </row>
    <row r="31" spans="1:52" s="25" customFormat="1" ht="15.4" x14ac:dyDescent="0.45">
      <c r="A31" s="24"/>
      <c r="B31" s="24"/>
      <c r="C31" s="24"/>
      <c r="D31" s="130" t="s">
        <v>258</v>
      </c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24"/>
      <c r="AW31" s="24"/>
      <c r="AX31" s="24"/>
      <c r="AY31" s="24"/>
      <c r="AZ31" s="24"/>
    </row>
    <row r="32" spans="1:52" s="25" customFormat="1" ht="15.4" x14ac:dyDescent="0.45">
      <c r="A32" s="24"/>
      <c r="B32" s="24"/>
      <c r="C32" s="24"/>
      <c r="D32" s="130" t="s">
        <v>259</v>
      </c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24"/>
      <c r="AW32" s="24"/>
      <c r="AX32" s="24"/>
      <c r="AY32" s="24"/>
      <c r="AZ32" s="24"/>
    </row>
    <row r="33" spans="1:52" s="25" customFormat="1" ht="15.4" x14ac:dyDescent="0.45">
      <c r="A33" s="24"/>
      <c r="B33" s="24"/>
      <c r="C33" s="24"/>
      <c r="D33" s="130" t="s">
        <v>260</v>
      </c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24"/>
      <c r="AW33" s="24"/>
      <c r="AX33" s="24"/>
      <c r="AY33" s="24"/>
      <c r="AZ33" s="24"/>
    </row>
    <row r="34" spans="1:52" s="25" customFormat="1" ht="15.4" x14ac:dyDescent="0.45">
      <c r="A34" s="24"/>
      <c r="B34" s="24"/>
      <c r="C34" s="24"/>
      <c r="D34" s="130" t="s">
        <v>261</v>
      </c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24"/>
      <c r="AW34" s="24"/>
      <c r="AX34" s="24"/>
      <c r="AY34" s="24"/>
      <c r="AZ34" s="24"/>
    </row>
    <row r="35" spans="1:52" s="25" customFormat="1" ht="15.4" x14ac:dyDescent="0.45">
      <c r="A35" s="24"/>
      <c r="B35" s="24"/>
      <c r="C35" s="24"/>
      <c r="D35" s="130" t="s">
        <v>262</v>
      </c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24"/>
      <c r="AW35" s="24"/>
      <c r="AX35" s="24"/>
      <c r="AY35" s="24"/>
      <c r="AZ35" s="24"/>
    </row>
    <row r="36" spans="1:52" s="25" customFormat="1" ht="15.4" x14ac:dyDescent="0.45">
      <c r="A36" s="24"/>
      <c r="B36" s="24"/>
      <c r="C36" s="24"/>
      <c r="D36" s="130" t="s">
        <v>263</v>
      </c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24"/>
      <c r="AW36" s="24"/>
      <c r="AX36" s="24"/>
      <c r="AY36" s="24"/>
      <c r="AZ36" s="24"/>
    </row>
    <row r="37" spans="1:52" s="25" customFormat="1" ht="15.4" x14ac:dyDescent="0.45">
      <c r="A37" s="24"/>
      <c r="B37" s="24"/>
      <c r="C37" s="24"/>
      <c r="D37" s="130" t="s">
        <v>264</v>
      </c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24"/>
      <c r="AW37" s="24"/>
      <c r="AX37" s="24"/>
      <c r="AY37" s="24"/>
      <c r="AZ37" s="24"/>
    </row>
    <row r="38" spans="1:52" s="25" customFormat="1" ht="15.4" x14ac:dyDescent="0.45">
      <c r="A38" s="24"/>
      <c r="B38" s="24"/>
      <c r="C38" s="24"/>
      <c r="D38" s="130" t="s">
        <v>265</v>
      </c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24"/>
      <c r="AW38" s="24"/>
      <c r="AX38" s="24"/>
      <c r="AY38" s="24"/>
      <c r="AZ38" s="24"/>
    </row>
    <row r="39" spans="1:52" s="25" customFormat="1" ht="15.4" x14ac:dyDescent="0.45">
      <c r="A39" s="24"/>
      <c r="B39" s="24"/>
      <c r="C39" s="24"/>
      <c r="D39" s="130" t="s">
        <v>266</v>
      </c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24"/>
      <c r="AW39" s="24"/>
      <c r="AX39" s="24"/>
      <c r="AY39" s="24"/>
      <c r="AZ39" s="24"/>
    </row>
    <row r="40" spans="1:52" s="25" customFormat="1" ht="15.4" x14ac:dyDescent="0.45">
      <c r="A40" s="24"/>
      <c r="B40" s="24"/>
      <c r="C40" s="24"/>
      <c r="D40" s="130" t="s">
        <v>267</v>
      </c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24"/>
      <c r="AW40" s="24"/>
      <c r="AX40" s="24"/>
      <c r="AY40" s="24"/>
      <c r="AZ40" s="24"/>
    </row>
    <row r="41" spans="1:52" s="25" customFormat="1" ht="15.4" x14ac:dyDescent="0.45">
      <c r="A41" s="24"/>
      <c r="B41" s="24"/>
      <c r="C41" s="24"/>
      <c r="D41" s="130" t="s">
        <v>268</v>
      </c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24"/>
      <c r="AW41" s="24"/>
      <c r="AX41" s="24"/>
      <c r="AY41" s="24"/>
      <c r="AZ41" s="24"/>
    </row>
    <row r="42" spans="1:52" s="25" customFormat="1" ht="15.4" x14ac:dyDescent="0.45">
      <c r="A42" s="24"/>
      <c r="B42" s="24"/>
      <c r="C42" s="24"/>
      <c r="D42" s="130" t="s">
        <v>269</v>
      </c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24"/>
      <c r="AW42" s="24"/>
      <c r="AX42" s="24"/>
      <c r="AY42" s="24"/>
      <c r="AZ42" s="24"/>
    </row>
    <row r="43" spans="1:52" s="25" customFormat="1" ht="15.4" x14ac:dyDescent="0.45">
      <c r="A43" s="24"/>
      <c r="B43" s="24"/>
      <c r="C43" s="24"/>
      <c r="D43" s="130" t="s">
        <v>270</v>
      </c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24"/>
      <c r="AW43" s="24"/>
      <c r="AX43" s="24"/>
      <c r="AY43" s="24"/>
      <c r="AZ43" s="24"/>
    </row>
    <row r="44" spans="1:52" s="25" customFormat="1" ht="15.4" x14ac:dyDescent="0.45">
      <c r="A44" s="24"/>
      <c r="B44" s="24"/>
      <c r="C44" s="24"/>
      <c r="D44" s="130" t="s">
        <v>271</v>
      </c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24"/>
      <c r="AW44" s="24"/>
      <c r="AX44" s="24"/>
      <c r="AY44" s="24"/>
      <c r="AZ44" s="24"/>
    </row>
    <row r="45" spans="1:52" s="25" customFormat="1" ht="15.4" x14ac:dyDescent="0.45">
      <c r="A45" s="24"/>
      <c r="B45" s="24"/>
      <c r="C45" s="24"/>
      <c r="D45" s="130" t="s">
        <v>272</v>
      </c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24"/>
      <c r="AW45" s="24"/>
      <c r="AX45" s="24"/>
      <c r="AY45" s="24"/>
      <c r="AZ45" s="24"/>
    </row>
    <row r="46" spans="1:52" s="25" customFormat="1" ht="15.4" x14ac:dyDescent="0.45">
      <c r="A46" s="24"/>
      <c r="B46" s="24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24"/>
      <c r="AV46" s="24"/>
      <c r="AW46" s="24"/>
      <c r="AX46" s="24"/>
      <c r="AY46" s="24"/>
    </row>
    <row r="47" spans="1:52" s="25" customFormat="1" ht="15.4" x14ac:dyDescent="0.45">
      <c r="A47" s="24"/>
      <c r="B47" s="24"/>
      <c r="C47" s="131" t="s">
        <v>273</v>
      </c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24"/>
      <c r="AV47" s="24"/>
      <c r="AW47" s="24"/>
      <c r="AX47" s="24"/>
      <c r="AY47" s="24"/>
    </row>
    <row r="48" spans="1:52" s="25" customFormat="1" ht="15.4" x14ac:dyDescent="0.45">
      <c r="A48" s="24"/>
      <c r="B48" s="24"/>
      <c r="C48" s="24"/>
      <c r="D48" s="130" t="s">
        <v>83</v>
      </c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24"/>
      <c r="AW48" s="24"/>
      <c r="AX48" s="24"/>
      <c r="AY48" s="24"/>
      <c r="AZ48" s="24"/>
    </row>
    <row r="49" spans="1:52" s="25" customFormat="1" ht="15.4" x14ac:dyDescent="0.45">
      <c r="A49" s="24"/>
      <c r="B49" s="24"/>
      <c r="C49" s="24"/>
      <c r="D49" s="130" t="s">
        <v>274</v>
      </c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24"/>
      <c r="AW49" s="24"/>
      <c r="AX49" s="24"/>
      <c r="AY49" s="24"/>
      <c r="AZ49" s="24"/>
    </row>
    <row r="50" spans="1:52" s="25" customFormat="1" ht="15.4" x14ac:dyDescent="0.45">
      <c r="A50" s="24"/>
      <c r="B50" s="24"/>
      <c r="C50" s="24"/>
      <c r="D50" s="130" t="s">
        <v>85</v>
      </c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24"/>
      <c r="AW50" s="24"/>
      <c r="AX50" s="24"/>
      <c r="AY50" s="24"/>
      <c r="AZ50" s="24"/>
    </row>
    <row r="51" spans="1:52" s="25" customFormat="1" ht="15.4" x14ac:dyDescent="0.45">
      <c r="A51" s="24"/>
      <c r="B51" s="24"/>
      <c r="C51" s="24"/>
      <c r="D51" s="130" t="s">
        <v>275</v>
      </c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24"/>
      <c r="AW51" s="24"/>
      <c r="AX51" s="24"/>
      <c r="AY51" s="24"/>
      <c r="AZ51" s="24"/>
    </row>
    <row r="52" spans="1:52" s="25" customFormat="1" ht="15.4" x14ac:dyDescent="0.45">
      <c r="A52" s="24"/>
      <c r="B52" s="24"/>
      <c r="C52" s="24"/>
      <c r="D52" s="130" t="s">
        <v>276</v>
      </c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24"/>
      <c r="AW52" s="24"/>
      <c r="AX52" s="24"/>
      <c r="AY52" s="24"/>
      <c r="AZ52" s="24"/>
    </row>
    <row r="53" spans="1:52" s="25" customFormat="1" ht="15.4" x14ac:dyDescent="0.45">
      <c r="A53" s="24"/>
      <c r="B53" s="24"/>
      <c r="C53" s="24"/>
      <c r="D53" s="130" t="s">
        <v>277</v>
      </c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24"/>
      <c r="AW53" s="24"/>
      <c r="AX53" s="24"/>
      <c r="AY53" s="24"/>
      <c r="AZ53" s="24"/>
    </row>
    <row r="54" spans="1:52" s="25" customFormat="1" ht="15.4" x14ac:dyDescent="0.45">
      <c r="A54" s="24"/>
      <c r="B54" s="24"/>
      <c r="C54" s="24"/>
      <c r="D54" s="130" t="s">
        <v>278</v>
      </c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24"/>
      <c r="AW54" s="24"/>
      <c r="AX54" s="24"/>
      <c r="AY54" s="24"/>
      <c r="AZ54" s="24"/>
    </row>
    <row r="55" spans="1:52" s="25" customFormat="1" ht="15.4" x14ac:dyDescent="0.45">
      <c r="A55" s="24"/>
      <c r="B55" s="24"/>
      <c r="C55" s="24"/>
      <c r="D55" s="130" t="s">
        <v>279</v>
      </c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24"/>
      <c r="AW55" s="24"/>
      <c r="AX55" s="24"/>
      <c r="AY55" s="24"/>
      <c r="AZ55" s="24"/>
    </row>
    <row r="56" spans="1:52" s="25" customFormat="1" ht="15.4" x14ac:dyDescent="0.45">
      <c r="A56" s="24"/>
      <c r="B56" s="24"/>
      <c r="C56" s="24"/>
      <c r="D56" s="130" t="s">
        <v>280</v>
      </c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24"/>
      <c r="AW56" s="24"/>
      <c r="AX56" s="24"/>
      <c r="AY56" s="24"/>
      <c r="AZ56" s="24"/>
    </row>
    <row r="57" spans="1:52" s="25" customFormat="1" ht="15.4" x14ac:dyDescent="0.45">
      <c r="A57" s="24"/>
      <c r="B57" s="24"/>
      <c r="C57" s="24"/>
      <c r="D57" s="130" t="s">
        <v>281</v>
      </c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24"/>
      <c r="AW57" s="24"/>
      <c r="AX57" s="24"/>
      <c r="AY57" s="24"/>
      <c r="AZ57" s="24"/>
    </row>
    <row r="58" spans="1:52" s="25" customFormat="1" ht="15.4" x14ac:dyDescent="0.45">
      <c r="A58" s="24"/>
      <c r="B58" s="24"/>
      <c r="C58" s="24"/>
      <c r="D58" s="130" t="s">
        <v>282</v>
      </c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24"/>
      <c r="AW58" s="24"/>
      <c r="AX58" s="24"/>
      <c r="AY58" s="24"/>
      <c r="AZ58" s="24"/>
    </row>
    <row r="59" spans="1:52" s="25" customFormat="1" ht="15.4" x14ac:dyDescent="0.45">
      <c r="A59" s="24"/>
      <c r="B59" s="24"/>
      <c r="C59" s="24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24"/>
      <c r="AW59" s="24"/>
      <c r="AX59" s="24"/>
      <c r="AY59" s="24"/>
      <c r="AZ59" s="24"/>
    </row>
    <row r="60" spans="1:52" s="25" customFormat="1" ht="15.4" x14ac:dyDescent="0.45">
      <c r="A60" s="24"/>
      <c r="B60" s="24"/>
      <c r="C60" s="24"/>
      <c r="D60" s="130" t="s">
        <v>283</v>
      </c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24"/>
      <c r="AW60" s="24"/>
      <c r="AX60" s="24"/>
      <c r="AY60" s="24"/>
      <c r="AZ60" s="24"/>
    </row>
    <row r="61" spans="1:52" s="25" customFormat="1" ht="15.4" x14ac:dyDescent="0.45">
      <c r="A61" s="24"/>
      <c r="B61" s="24"/>
      <c r="C61" s="24"/>
      <c r="D61" s="130" t="s">
        <v>83</v>
      </c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24"/>
      <c r="AW61" s="24"/>
      <c r="AX61" s="24"/>
      <c r="AY61" s="24"/>
      <c r="AZ61" s="24"/>
    </row>
    <row r="62" spans="1:52" s="25" customFormat="1" ht="15.4" x14ac:dyDescent="0.45">
      <c r="A62" s="24"/>
      <c r="B62" s="24"/>
      <c r="C62" s="24"/>
      <c r="D62" s="130" t="s">
        <v>284</v>
      </c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24"/>
      <c r="AW62" s="24"/>
      <c r="AX62" s="24"/>
      <c r="AY62" s="24"/>
      <c r="AZ62" s="24"/>
    </row>
    <row r="63" spans="1:52" s="25" customFormat="1" ht="15.4" x14ac:dyDescent="0.45">
      <c r="A63" s="24"/>
      <c r="B63" s="24"/>
      <c r="C63" s="24"/>
      <c r="D63" s="130" t="s">
        <v>85</v>
      </c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24"/>
      <c r="AW63" s="24"/>
      <c r="AX63" s="24"/>
      <c r="AY63" s="24"/>
      <c r="AZ63" s="24"/>
    </row>
    <row r="64" spans="1:52" s="25" customFormat="1" ht="15.4" x14ac:dyDescent="0.45">
      <c r="A64" s="24"/>
      <c r="B64" s="24"/>
      <c r="C64" s="24"/>
      <c r="D64" s="130" t="s">
        <v>285</v>
      </c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24"/>
      <c r="AW64" s="24"/>
      <c r="AX64" s="24"/>
      <c r="AY64" s="24"/>
      <c r="AZ64" s="24"/>
    </row>
    <row r="65" spans="1:52" s="25" customFormat="1" ht="15.4" x14ac:dyDescent="0.45">
      <c r="A65" s="24"/>
      <c r="B65" s="24"/>
      <c r="C65" s="24"/>
      <c r="D65" s="130" t="s">
        <v>286</v>
      </c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24"/>
      <c r="AW65" s="24"/>
      <c r="AX65" s="24"/>
      <c r="AY65" s="24"/>
      <c r="AZ65" s="24"/>
    </row>
    <row r="66" spans="1:52" s="25" customFormat="1" ht="15.4" x14ac:dyDescent="0.45">
      <c r="A66" s="24"/>
      <c r="B66" s="24"/>
      <c r="C66" s="24"/>
      <c r="D66" s="130" t="s">
        <v>287</v>
      </c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24"/>
      <c r="AW66" s="24"/>
      <c r="AX66" s="24"/>
      <c r="AY66" s="24"/>
      <c r="AZ66" s="24"/>
    </row>
    <row r="67" spans="1:52" s="25" customFormat="1" ht="15.4" x14ac:dyDescent="0.45">
      <c r="A67" s="24"/>
      <c r="B67" s="24"/>
      <c r="C67" s="24"/>
      <c r="D67" s="130" t="s">
        <v>288</v>
      </c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24"/>
      <c r="AW67" s="24"/>
      <c r="AX67" s="24"/>
      <c r="AY67" s="24"/>
      <c r="AZ67" s="24"/>
    </row>
    <row r="68" spans="1:52" s="25" customFormat="1" ht="15.4" x14ac:dyDescent="0.45">
      <c r="A68" s="24"/>
      <c r="B68" s="24"/>
      <c r="C68" s="24"/>
      <c r="D68" s="130" t="s">
        <v>289</v>
      </c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24"/>
      <c r="AW68" s="24"/>
      <c r="AX68" s="24"/>
      <c r="AY68" s="24"/>
      <c r="AZ68" s="24"/>
    </row>
    <row r="69" spans="1:52" s="25" customFormat="1" ht="15.4" x14ac:dyDescent="0.45">
      <c r="A69" s="24"/>
      <c r="B69" s="24"/>
      <c r="C69" s="24"/>
      <c r="D69" s="130" t="s">
        <v>290</v>
      </c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24"/>
      <c r="AW69" s="24"/>
      <c r="AX69" s="24"/>
      <c r="AY69" s="24"/>
      <c r="AZ69" s="24"/>
    </row>
    <row r="70" spans="1:52" s="25" customFormat="1" ht="15.4" x14ac:dyDescent="0.45">
      <c r="A70" s="24"/>
      <c r="B70" s="24"/>
      <c r="C70" s="24"/>
      <c r="D70" s="130" t="s">
        <v>291</v>
      </c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24"/>
      <c r="AW70" s="24"/>
      <c r="AX70" s="24"/>
      <c r="AY70" s="24"/>
      <c r="AZ70" s="24"/>
    </row>
    <row r="71" spans="1:52" s="25" customFormat="1" ht="15.4" x14ac:dyDescent="0.45">
      <c r="A71" s="24"/>
      <c r="B71" s="24"/>
      <c r="C71" s="24"/>
      <c r="D71" s="130" t="s">
        <v>292</v>
      </c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24"/>
      <c r="AW71" s="24"/>
      <c r="AX71" s="24"/>
      <c r="AY71" s="24"/>
      <c r="AZ71" s="24"/>
    </row>
    <row r="72" spans="1:52" s="25" customFormat="1" ht="15.4" x14ac:dyDescent="0.45">
      <c r="A72" s="24"/>
      <c r="B72" s="24"/>
      <c r="C72" s="24"/>
      <c r="D72" s="130" t="s">
        <v>293</v>
      </c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24"/>
      <c r="AW72" s="24"/>
      <c r="AX72" s="24"/>
      <c r="AY72" s="24"/>
      <c r="AZ72" s="24"/>
    </row>
    <row r="73" spans="1:52" s="25" customFormat="1" ht="15.4" x14ac:dyDescent="0.45">
      <c r="A73" s="24"/>
      <c r="B73" s="24"/>
      <c r="C73" s="24"/>
      <c r="D73" s="130" t="s">
        <v>294</v>
      </c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24"/>
      <c r="AW73" s="24"/>
      <c r="AX73" s="24"/>
      <c r="AY73" s="24"/>
      <c r="AZ73" s="24"/>
    </row>
    <row r="74" spans="1:52" s="23" customFormat="1" ht="15" x14ac:dyDescent="0.4">
      <c r="A74" s="22"/>
      <c r="B74" s="22"/>
      <c r="C74" s="22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22"/>
      <c r="AW74" s="22"/>
      <c r="AX74" s="22"/>
      <c r="AY74" s="22"/>
      <c r="AZ74" s="22"/>
    </row>
    <row r="75" spans="1:52" s="23" customFormat="1" ht="15" x14ac:dyDescent="0.4">
      <c r="A75" s="22"/>
      <c r="B75" s="22"/>
      <c r="C75" s="131" t="s">
        <v>295</v>
      </c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22"/>
      <c r="AV75" s="22"/>
      <c r="AW75" s="22"/>
      <c r="AX75" s="22"/>
      <c r="AY75" s="22"/>
    </row>
    <row r="76" spans="1:52" s="23" customFormat="1" ht="15.4" x14ac:dyDescent="0.4">
      <c r="A76" s="22"/>
      <c r="B76" s="22"/>
      <c r="C76" s="22"/>
      <c r="D76" s="130" t="s">
        <v>83</v>
      </c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22"/>
      <c r="AW76" s="22"/>
      <c r="AX76" s="22"/>
      <c r="AY76" s="22"/>
      <c r="AZ76" s="22"/>
    </row>
    <row r="77" spans="1:52" s="23" customFormat="1" ht="15.4" x14ac:dyDescent="0.4">
      <c r="A77" s="22"/>
      <c r="B77" s="22"/>
      <c r="C77" s="22"/>
      <c r="D77" s="130" t="s">
        <v>296</v>
      </c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22"/>
      <c r="AW77" s="22"/>
      <c r="AX77" s="22"/>
      <c r="AY77" s="22"/>
      <c r="AZ77" s="22"/>
    </row>
    <row r="78" spans="1:52" s="23" customFormat="1" ht="15.4" x14ac:dyDescent="0.4">
      <c r="A78" s="22"/>
      <c r="B78" s="22"/>
      <c r="C78" s="22"/>
      <c r="D78" s="130" t="s">
        <v>85</v>
      </c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22"/>
      <c r="AW78" s="22"/>
      <c r="AX78" s="22"/>
      <c r="AY78" s="22"/>
      <c r="AZ78" s="22"/>
    </row>
    <row r="79" spans="1:52" s="23" customFormat="1" ht="15.4" x14ac:dyDescent="0.4">
      <c r="A79" s="22"/>
      <c r="B79" s="22"/>
      <c r="C79" s="22"/>
      <c r="D79" s="130" t="s">
        <v>297</v>
      </c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22"/>
      <c r="AW79" s="22"/>
      <c r="AX79" s="22"/>
      <c r="AY79" s="22"/>
      <c r="AZ79" s="22"/>
    </row>
    <row r="80" spans="1:52" s="23" customFormat="1" ht="15.4" x14ac:dyDescent="0.4">
      <c r="A80" s="22"/>
      <c r="B80" s="22"/>
      <c r="C80" s="22"/>
      <c r="D80" s="130" t="s">
        <v>298</v>
      </c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22"/>
      <c r="AW80" s="22"/>
      <c r="AX80" s="22"/>
      <c r="AY80" s="22"/>
      <c r="AZ80" s="22"/>
    </row>
    <row r="81" spans="1:52" s="23" customFormat="1" ht="15.4" x14ac:dyDescent="0.4">
      <c r="A81" s="22"/>
      <c r="B81" s="22"/>
      <c r="C81" s="22"/>
      <c r="D81" s="130" t="s">
        <v>299</v>
      </c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22"/>
      <c r="AW81" s="22"/>
      <c r="AX81" s="22"/>
      <c r="AY81" s="22"/>
      <c r="AZ81" s="22"/>
    </row>
    <row r="82" spans="1:52" s="23" customFormat="1" ht="15.4" x14ac:dyDescent="0.4">
      <c r="A82" s="22"/>
      <c r="B82" s="22"/>
      <c r="C82" s="22"/>
      <c r="D82" s="130" t="s">
        <v>300</v>
      </c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22"/>
      <c r="AW82" s="22"/>
      <c r="AX82" s="22"/>
      <c r="AY82" s="22"/>
      <c r="AZ82" s="22"/>
    </row>
    <row r="83" spans="1:52" s="23" customFormat="1" ht="15.4" x14ac:dyDescent="0.4">
      <c r="A83" s="22"/>
      <c r="B83" s="22"/>
      <c r="C83" s="22"/>
      <c r="D83" s="130" t="s">
        <v>301</v>
      </c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22"/>
      <c r="AW83" s="22"/>
      <c r="AX83" s="22"/>
      <c r="AY83" s="22"/>
      <c r="AZ83" s="22"/>
    </row>
    <row r="84" spans="1:52" s="23" customFormat="1" ht="15.4" x14ac:dyDescent="0.4">
      <c r="A84" s="22"/>
      <c r="B84" s="22"/>
      <c r="C84" s="22"/>
      <c r="D84" s="130" t="s">
        <v>302</v>
      </c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22"/>
      <c r="AW84" s="22"/>
      <c r="AX84" s="22"/>
      <c r="AY84" s="22"/>
      <c r="AZ84" s="22"/>
    </row>
    <row r="85" spans="1:52" s="23" customFormat="1" ht="15.4" x14ac:dyDescent="0.4">
      <c r="A85" s="22"/>
      <c r="B85" s="22"/>
      <c r="C85" s="22"/>
      <c r="D85" s="130" t="s">
        <v>303</v>
      </c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22"/>
      <c r="AW85" s="22"/>
      <c r="AX85" s="22"/>
      <c r="AY85" s="22"/>
      <c r="AZ85" s="22"/>
    </row>
    <row r="86" spans="1:52" s="23" customFormat="1" ht="15" x14ac:dyDescent="0.4">
      <c r="A86" s="22"/>
      <c r="B86" s="22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22"/>
      <c r="AV86" s="22"/>
      <c r="AW86" s="22"/>
      <c r="AX86" s="22"/>
      <c r="AY86" s="22"/>
    </row>
    <row r="87" spans="1:52" s="23" customFormat="1" ht="15" x14ac:dyDescent="0.4">
      <c r="A87" s="22"/>
      <c r="B87" s="22"/>
      <c r="C87" s="131" t="s">
        <v>304</v>
      </c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22"/>
      <c r="AV87" s="22"/>
      <c r="AW87" s="22"/>
      <c r="AX87" s="22"/>
      <c r="AY87" s="22"/>
    </row>
    <row r="88" spans="1:52" s="23" customFormat="1" ht="15.4" x14ac:dyDescent="0.4">
      <c r="A88" s="22"/>
      <c r="B88" s="22"/>
      <c r="C88" s="22"/>
      <c r="D88" s="130" t="s">
        <v>305</v>
      </c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22"/>
      <c r="AW88" s="22"/>
      <c r="AX88" s="22"/>
      <c r="AY88" s="22"/>
      <c r="AZ88" s="22"/>
    </row>
    <row r="89" spans="1:52" s="23" customFormat="1" ht="15.4" x14ac:dyDescent="0.4">
      <c r="A89" s="22"/>
      <c r="B89" s="22"/>
      <c r="C89" s="22"/>
      <c r="D89" s="130" t="s">
        <v>306</v>
      </c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22"/>
      <c r="AW89" s="22"/>
      <c r="AX89" s="22"/>
      <c r="AY89" s="22"/>
      <c r="AZ89" s="22"/>
    </row>
    <row r="90" spans="1:52" s="23" customFormat="1" ht="15.4" x14ac:dyDescent="0.4">
      <c r="A90" s="22"/>
      <c r="B90" s="22"/>
      <c r="C90" s="22"/>
      <c r="D90" s="130" t="s">
        <v>307</v>
      </c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22"/>
      <c r="AW90" s="22"/>
      <c r="AX90" s="22"/>
      <c r="AY90" s="22"/>
      <c r="AZ90" s="22"/>
    </row>
    <row r="91" spans="1:52" s="23" customFormat="1" ht="15.4" x14ac:dyDescent="0.4">
      <c r="A91" s="22"/>
      <c r="B91" s="22"/>
      <c r="C91" s="22"/>
      <c r="D91" s="130" t="s">
        <v>308</v>
      </c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22"/>
      <c r="AW91" s="22"/>
      <c r="AX91" s="22"/>
      <c r="AY91" s="22"/>
      <c r="AZ91" s="22"/>
    </row>
    <row r="92" spans="1:52" s="23" customFormat="1" ht="15.4" x14ac:dyDescent="0.4">
      <c r="A92" s="22"/>
      <c r="B92" s="22"/>
      <c r="C92" s="22"/>
      <c r="D92" s="130" t="s">
        <v>309</v>
      </c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22"/>
      <c r="AW92" s="22"/>
      <c r="AX92" s="22"/>
      <c r="AY92" s="22"/>
      <c r="AZ92" s="22"/>
    </row>
    <row r="93" spans="1:52" s="23" customFormat="1" ht="15.4" x14ac:dyDescent="0.4">
      <c r="A93" s="22"/>
      <c r="B93" s="22"/>
      <c r="C93" s="22"/>
      <c r="D93" s="130" t="s">
        <v>310</v>
      </c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22"/>
      <c r="AW93" s="22"/>
      <c r="AX93" s="22"/>
      <c r="AY93" s="22"/>
      <c r="AZ93" s="22"/>
    </row>
    <row r="94" spans="1:52" s="23" customFormat="1" ht="15.4" x14ac:dyDescent="0.4">
      <c r="A94" s="22"/>
      <c r="B94" s="22"/>
      <c r="C94" s="22"/>
      <c r="D94" s="130" t="s">
        <v>311</v>
      </c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22"/>
      <c r="AW94" s="22"/>
      <c r="AX94" s="22"/>
      <c r="AY94" s="22"/>
      <c r="AZ94" s="22"/>
    </row>
    <row r="95" spans="1:52" s="23" customFormat="1" ht="15.4" x14ac:dyDescent="0.4">
      <c r="A95" s="22"/>
      <c r="B95" s="22"/>
      <c r="C95" s="22"/>
      <c r="D95" s="130" t="s">
        <v>312</v>
      </c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22"/>
      <c r="AW95" s="22"/>
      <c r="AX95" s="22"/>
      <c r="AY95" s="22"/>
      <c r="AZ95" s="22"/>
    </row>
    <row r="96" spans="1:52" s="23" customFormat="1" ht="15.4" x14ac:dyDescent="0.4">
      <c r="A96" s="22"/>
      <c r="B96" s="22"/>
      <c r="C96" s="22"/>
      <c r="D96" s="130" t="s">
        <v>313</v>
      </c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22"/>
      <c r="AW96" s="22"/>
      <c r="AX96" s="22"/>
      <c r="AY96" s="22"/>
      <c r="AZ96" s="22"/>
    </row>
    <row r="97" spans="1:51" s="19" customFormat="1" ht="16.5" x14ac:dyDescent="0.45">
      <c r="A97" s="18"/>
      <c r="B97" s="18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8"/>
      <c r="AV97" s="18"/>
      <c r="AW97" s="18"/>
      <c r="AX97" s="18"/>
      <c r="AY97" s="18"/>
    </row>
    <row r="98" spans="1:51" s="19" customFormat="1" ht="16.5" x14ac:dyDescent="0.45">
      <c r="A98" s="18"/>
      <c r="B98" s="18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  <c r="AR98" s="129"/>
      <c r="AS98" s="129"/>
      <c r="AT98" s="129"/>
      <c r="AU98" s="18"/>
      <c r="AV98" s="18"/>
      <c r="AW98" s="18"/>
      <c r="AX98" s="18"/>
      <c r="AY98" s="18"/>
    </row>
    <row r="99" spans="1:51" s="19" customFormat="1" ht="16.5" x14ac:dyDescent="0.45">
      <c r="A99" s="18"/>
      <c r="B99" s="18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8"/>
      <c r="AV99" s="18"/>
      <c r="AW99" s="18"/>
      <c r="AX99" s="18"/>
      <c r="AY99" s="18"/>
    </row>
    <row r="100" spans="1:51" s="19" customFormat="1" ht="16.5" x14ac:dyDescent="0.45">
      <c r="A100" s="18"/>
      <c r="B100" s="18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  <c r="AR100" s="129"/>
      <c r="AS100" s="129"/>
      <c r="AT100" s="129"/>
      <c r="AU100" s="18"/>
      <c r="AV100" s="18"/>
      <c r="AW100" s="18"/>
      <c r="AX100" s="18"/>
      <c r="AY100" s="18"/>
    </row>
    <row r="101" spans="1:51" s="19" customFormat="1" ht="16.5" x14ac:dyDescent="0.45">
      <c r="A101" s="18"/>
      <c r="B101" s="18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  <c r="AR101" s="129"/>
      <c r="AS101" s="129"/>
      <c r="AT101" s="129"/>
      <c r="AU101" s="18"/>
      <c r="AV101" s="18"/>
      <c r="AW101" s="18"/>
      <c r="AX101" s="18"/>
      <c r="AY101" s="18"/>
    </row>
    <row r="102" spans="1:51" s="19" customFormat="1" ht="16.5" x14ac:dyDescent="0.45">
      <c r="A102" s="18"/>
      <c r="B102" s="18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/>
      <c r="AQ102" s="129"/>
      <c r="AR102" s="129"/>
      <c r="AS102" s="129"/>
      <c r="AT102" s="129"/>
      <c r="AU102" s="18"/>
      <c r="AV102" s="18"/>
      <c r="AW102" s="18"/>
      <c r="AX102" s="18"/>
      <c r="AY102" s="18"/>
    </row>
    <row r="103" spans="1:51" s="19" customFormat="1" ht="16.5" x14ac:dyDescent="0.45">
      <c r="A103" s="18"/>
      <c r="B103" s="18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/>
      <c r="AQ103" s="129"/>
      <c r="AR103" s="129"/>
      <c r="AS103" s="129"/>
      <c r="AT103" s="129"/>
      <c r="AU103" s="18"/>
      <c r="AV103" s="18"/>
      <c r="AW103" s="18"/>
      <c r="AX103" s="18"/>
      <c r="AY103" s="18"/>
    </row>
    <row r="104" spans="1:51" s="19" customFormat="1" ht="16.5" x14ac:dyDescent="0.45">
      <c r="A104" s="18"/>
      <c r="B104" s="18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  <c r="AR104" s="129"/>
      <c r="AS104" s="129"/>
      <c r="AT104" s="129"/>
      <c r="AU104" s="18"/>
      <c r="AV104" s="18"/>
      <c r="AW104" s="18"/>
      <c r="AX104" s="18"/>
      <c r="AY104" s="18"/>
    </row>
    <row r="105" spans="1:51" s="19" customFormat="1" ht="16.5" x14ac:dyDescent="0.45">
      <c r="A105" s="18"/>
      <c r="B105" s="18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  <c r="AR105" s="129"/>
      <c r="AS105" s="129"/>
      <c r="AT105" s="129"/>
      <c r="AU105" s="18"/>
      <c r="AV105" s="18"/>
      <c r="AW105" s="18"/>
      <c r="AX105" s="18"/>
      <c r="AY105" s="18"/>
    </row>
    <row r="106" spans="1:51" s="19" customFormat="1" ht="16.5" x14ac:dyDescent="0.45">
      <c r="A106" s="18"/>
      <c r="B106" s="18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/>
      <c r="AQ106" s="129"/>
      <c r="AR106" s="129"/>
      <c r="AS106" s="129"/>
      <c r="AT106" s="129"/>
      <c r="AU106" s="18"/>
      <c r="AV106" s="18"/>
      <c r="AW106" s="18"/>
      <c r="AX106" s="18"/>
      <c r="AY106" s="18"/>
    </row>
    <row r="107" spans="1:51" s="19" customFormat="1" ht="16.5" x14ac:dyDescent="0.45">
      <c r="A107" s="18"/>
      <c r="B107" s="18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9"/>
      <c r="AN107" s="129"/>
      <c r="AO107" s="129"/>
      <c r="AP107" s="129"/>
      <c r="AQ107" s="129"/>
      <c r="AR107" s="129"/>
      <c r="AS107" s="129"/>
      <c r="AT107" s="129"/>
      <c r="AU107" s="18"/>
      <c r="AV107" s="18"/>
      <c r="AW107" s="18"/>
      <c r="AX107" s="18"/>
      <c r="AY107" s="18"/>
    </row>
    <row r="108" spans="1:51" s="19" customFormat="1" ht="16.5" x14ac:dyDescent="0.45">
      <c r="A108" s="18"/>
      <c r="B108" s="18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  <c r="AN108" s="129"/>
      <c r="AO108" s="129"/>
      <c r="AP108" s="129"/>
      <c r="AQ108" s="129"/>
      <c r="AR108" s="129"/>
      <c r="AS108" s="129"/>
      <c r="AT108" s="129"/>
      <c r="AU108" s="18"/>
      <c r="AV108" s="18"/>
      <c r="AW108" s="18"/>
      <c r="AX108" s="18"/>
      <c r="AY108" s="18"/>
    </row>
    <row r="109" spans="1:51" s="19" customFormat="1" ht="16.5" x14ac:dyDescent="0.45">
      <c r="A109" s="18"/>
      <c r="B109" s="18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/>
      <c r="AQ109" s="129"/>
      <c r="AR109" s="129"/>
      <c r="AS109" s="129"/>
      <c r="AT109" s="129"/>
      <c r="AU109" s="18"/>
      <c r="AV109" s="18"/>
      <c r="AW109" s="18"/>
      <c r="AX109" s="18"/>
      <c r="AY109" s="18"/>
    </row>
    <row r="110" spans="1:51" s="19" customFormat="1" ht="16.5" x14ac:dyDescent="0.45">
      <c r="A110" s="18"/>
      <c r="B110" s="18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  <c r="AN110" s="129"/>
      <c r="AO110" s="129"/>
      <c r="AP110" s="129"/>
      <c r="AQ110" s="129"/>
      <c r="AR110" s="129"/>
      <c r="AS110" s="129"/>
      <c r="AT110" s="129"/>
      <c r="AU110" s="18"/>
      <c r="AV110" s="18"/>
      <c r="AW110" s="18"/>
      <c r="AX110" s="18"/>
      <c r="AY110" s="18"/>
    </row>
    <row r="111" spans="1:51" s="19" customFormat="1" ht="16.5" x14ac:dyDescent="0.45">
      <c r="A111" s="18"/>
      <c r="B111" s="18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/>
      <c r="AQ111" s="129"/>
      <c r="AR111" s="129"/>
      <c r="AS111" s="129"/>
      <c r="AT111" s="129"/>
      <c r="AU111" s="18"/>
      <c r="AV111" s="18"/>
      <c r="AW111" s="18"/>
      <c r="AX111" s="18"/>
      <c r="AY111" s="18"/>
    </row>
    <row r="112" spans="1:51" s="19" customFormat="1" ht="16.5" x14ac:dyDescent="0.45">
      <c r="A112" s="18"/>
      <c r="B112" s="18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9"/>
      <c r="AN112" s="129"/>
      <c r="AO112" s="129"/>
      <c r="AP112" s="129"/>
      <c r="AQ112" s="129"/>
      <c r="AR112" s="129"/>
      <c r="AS112" s="129"/>
      <c r="AT112" s="129"/>
      <c r="AU112" s="18"/>
      <c r="AV112" s="18"/>
      <c r="AW112" s="18"/>
      <c r="AX112" s="18"/>
      <c r="AY112" s="18"/>
    </row>
    <row r="113" spans="1:51" s="19" customFormat="1" ht="16.5" x14ac:dyDescent="0.45">
      <c r="A113" s="18"/>
      <c r="B113" s="18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  <c r="AU113" s="18"/>
      <c r="AV113" s="18"/>
      <c r="AW113" s="18"/>
      <c r="AX113" s="18"/>
      <c r="AY113" s="18"/>
    </row>
    <row r="114" spans="1:51" s="19" customFormat="1" ht="16.5" x14ac:dyDescent="0.45">
      <c r="A114" s="18"/>
      <c r="B114" s="18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9"/>
      <c r="AN114" s="129"/>
      <c r="AO114" s="129"/>
      <c r="AP114" s="129"/>
      <c r="AQ114" s="129"/>
      <c r="AR114" s="129"/>
      <c r="AS114" s="129"/>
      <c r="AT114" s="129"/>
      <c r="AU114" s="18"/>
      <c r="AV114" s="18"/>
      <c r="AW114" s="18"/>
      <c r="AX114" s="18"/>
      <c r="AY114" s="18"/>
    </row>
    <row r="115" spans="1:51" s="19" customFormat="1" ht="16.5" x14ac:dyDescent="0.45">
      <c r="A115" s="18"/>
      <c r="B115" s="18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8"/>
      <c r="AV115" s="18"/>
      <c r="AW115" s="18"/>
      <c r="AX115" s="18"/>
      <c r="AY115" s="18"/>
    </row>
    <row r="116" spans="1:51" s="19" customFormat="1" ht="16.5" x14ac:dyDescent="0.45">
      <c r="A116" s="18"/>
      <c r="B116" s="18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  <c r="AH116" s="129"/>
      <c r="AI116" s="129"/>
      <c r="AJ116" s="129"/>
      <c r="AK116" s="129"/>
      <c r="AL116" s="129"/>
      <c r="AM116" s="129"/>
      <c r="AN116" s="129"/>
      <c r="AO116" s="129"/>
      <c r="AP116" s="129"/>
      <c r="AQ116" s="129"/>
      <c r="AR116" s="129"/>
      <c r="AS116" s="129"/>
      <c r="AT116" s="129"/>
      <c r="AU116" s="18"/>
      <c r="AV116" s="18"/>
      <c r="AW116" s="18"/>
      <c r="AX116" s="18"/>
      <c r="AY116" s="18"/>
    </row>
    <row r="117" spans="1:51" s="19" customFormat="1" ht="16.5" x14ac:dyDescent="0.45">
      <c r="A117" s="18"/>
      <c r="B117" s="18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29"/>
      <c r="AN117" s="129"/>
      <c r="AO117" s="129"/>
      <c r="AP117" s="129"/>
      <c r="AQ117" s="129"/>
      <c r="AR117" s="129"/>
      <c r="AS117" s="129"/>
      <c r="AT117" s="129"/>
      <c r="AU117" s="18"/>
      <c r="AV117" s="18"/>
      <c r="AW117" s="18"/>
      <c r="AX117" s="18"/>
      <c r="AY117" s="18"/>
    </row>
    <row r="118" spans="1:51" s="19" customFormat="1" ht="16.5" x14ac:dyDescent="0.45">
      <c r="A118" s="18"/>
      <c r="B118" s="18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  <c r="AN118" s="129"/>
      <c r="AO118" s="129"/>
      <c r="AP118" s="129"/>
      <c r="AQ118" s="129"/>
      <c r="AR118" s="129"/>
      <c r="AS118" s="129"/>
      <c r="AT118" s="129"/>
      <c r="AU118" s="18"/>
      <c r="AV118" s="18"/>
      <c r="AW118" s="18"/>
      <c r="AX118" s="18"/>
      <c r="AY118" s="18"/>
    </row>
    <row r="119" spans="1:51" s="19" customFormat="1" ht="16.5" x14ac:dyDescent="0.45">
      <c r="A119" s="18"/>
      <c r="B119" s="18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  <c r="AN119" s="129"/>
      <c r="AO119" s="129"/>
      <c r="AP119" s="129"/>
      <c r="AQ119" s="129"/>
      <c r="AR119" s="129"/>
      <c r="AS119" s="129"/>
      <c r="AT119" s="129"/>
      <c r="AU119" s="18"/>
      <c r="AV119" s="18"/>
      <c r="AW119" s="18"/>
      <c r="AX119" s="18"/>
      <c r="AY119" s="18"/>
    </row>
    <row r="120" spans="1:51" s="19" customFormat="1" ht="16.5" x14ac:dyDescent="0.45">
      <c r="A120" s="18"/>
      <c r="B120" s="18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8"/>
      <c r="AV120" s="18"/>
      <c r="AW120" s="18"/>
      <c r="AX120" s="18"/>
      <c r="AY120" s="18"/>
    </row>
    <row r="121" spans="1:51" s="19" customFormat="1" ht="16.5" x14ac:dyDescent="0.45">
      <c r="A121" s="18"/>
      <c r="B121" s="18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8"/>
      <c r="AV121" s="18"/>
      <c r="AW121" s="18"/>
      <c r="AX121" s="18"/>
      <c r="AY121" s="18"/>
    </row>
    <row r="122" spans="1:51" s="19" customFormat="1" ht="16.5" x14ac:dyDescent="0.45">
      <c r="A122" s="18"/>
      <c r="B122" s="18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129"/>
      <c r="AS122" s="129"/>
      <c r="AT122" s="129"/>
      <c r="AU122" s="18"/>
      <c r="AV122" s="18"/>
      <c r="AW122" s="18"/>
      <c r="AX122" s="18"/>
      <c r="AY122" s="18"/>
    </row>
    <row r="123" spans="1:51" s="19" customFormat="1" ht="16.5" x14ac:dyDescent="0.45">
      <c r="A123" s="18"/>
      <c r="B123" s="18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/>
      <c r="AQ123" s="129"/>
      <c r="AR123" s="129"/>
      <c r="AS123" s="129"/>
      <c r="AT123" s="129"/>
      <c r="AU123" s="18"/>
      <c r="AV123" s="18"/>
      <c r="AW123" s="18"/>
      <c r="AX123" s="18"/>
      <c r="AY123" s="18"/>
    </row>
    <row r="124" spans="1:51" s="19" customFormat="1" ht="16.5" x14ac:dyDescent="0.45">
      <c r="A124" s="18"/>
      <c r="B124" s="18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8"/>
      <c r="AV124" s="18"/>
      <c r="AW124" s="18"/>
      <c r="AX124" s="18"/>
      <c r="AY124" s="18"/>
    </row>
    <row r="125" spans="1:51" s="19" customFormat="1" ht="16.5" x14ac:dyDescent="0.45">
      <c r="A125" s="18"/>
      <c r="B125" s="1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8"/>
      <c r="AV125" s="18"/>
      <c r="AW125" s="18"/>
      <c r="AX125" s="18"/>
      <c r="AY125" s="18"/>
    </row>
    <row r="126" spans="1:51" s="19" customFormat="1" ht="16.5" x14ac:dyDescent="0.45">
      <c r="A126" s="18"/>
      <c r="B126" s="1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8"/>
      <c r="AV126" s="18"/>
      <c r="AW126" s="18"/>
      <c r="AX126" s="18"/>
      <c r="AY126" s="18"/>
    </row>
    <row r="127" spans="1:51" s="19" customFormat="1" ht="16.5" x14ac:dyDescent="0.45">
      <c r="A127" s="18"/>
      <c r="B127" s="18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8"/>
      <c r="AV127" s="18"/>
      <c r="AW127" s="18"/>
      <c r="AX127" s="18"/>
      <c r="AY127" s="18"/>
    </row>
    <row r="128" spans="1:51" s="19" customFormat="1" ht="16.5" x14ac:dyDescent="0.45">
      <c r="A128" s="18"/>
      <c r="B128" s="18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8"/>
      <c r="AV128" s="18"/>
      <c r="AW128" s="18"/>
      <c r="AX128" s="18"/>
      <c r="AY128" s="18"/>
    </row>
    <row r="129" spans="1:51" s="19" customFormat="1" ht="16.5" x14ac:dyDescent="0.45">
      <c r="A129" s="18"/>
      <c r="B129" s="18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8"/>
      <c r="AV129" s="18"/>
      <c r="AW129" s="18"/>
      <c r="AX129" s="18"/>
      <c r="AY129" s="18"/>
    </row>
    <row r="130" spans="1:51" s="19" customFormat="1" ht="16.5" x14ac:dyDescent="0.45">
      <c r="A130" s="18"/>
      <c r="B130" s="18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8"/>
      <c r="AV130" s="18"/>
      <c r="AW130" s="18"/>
      <c r="AX130" s="18"/>
      <c r="AY130" s="18"/>
    </row>
    <row r="131" spans="1:51" s="19" customFormat="1" ht="16.5" x14ac:dyDescent="0.45">
      <c r="A131" s="18"/>
      <c r="B131" s="18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8"/>
      <c r="AV131" s="18"/>
      <c r="AW131" s="18"/>
      <c r="AX131" s="18"/>
      <c r="AY131" s="18"/>
    </row>
    <row r="132" spans="1:51" s="19" customFormat="1" ht="16.5" x14ac:dyDescent="0.45">
      <c r="A132" s="18"/>
      <c r="B132" s="18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8"/>
      <c r="AV132" s="18"/>
      <c r="AW132" s="18"/>
      <c r="AX132" s="18"/>
      <c r="AY132" s="18"/>
    </row>
    <row r="133" spans="1:51" s="19" customFormat="1" ht="16.5" x14ac:dyDescent="0.45">
      <c r="A133" s="18"/>
      <c r="B133" s="18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8"/>
      <c r="AV133" s="18"/>
      <c r="AW133" s="18"/>
      <c r="AX133" s="18"/>
      <c r="AY133" s="18"/>
    </row>
    <row r="134" spans="1:51" s="19" customFormat="1" ht="16.5" x14ac:dyDescent="0.45">
      <c r="A134" s="18"/>
      <c r="B134" s="1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  <c r="AS134" s="129"/>
      <c r="AT134" s="129"/>
      <c r="AU134" s="18"/>
      <c r="AV134" s="18"/>
      <c r="AW134" s="18"/>
      <c r="AX134" s="18"/>
      <c r="AY134" s="18"/>
    </row>
    <row r="135" spans="1:51" s="19" customFormat="1" ht="16.5" x14ac:dyDescent="0.45">
      <c r="A135" s="18"/>
      <c r="B135" s="1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  <c r="AN135" s="129"/>
      <c r="AO135" s="129"/>
      <c r="AP135" s="129"/>
      <c r="AQ135" s="129"/>
      <c r="AR135" s="129"/>
      <c r="AS135" s="129"/>
      <c r="AT135" s="129"/>
      <c r="AU135" s="18"/>
      <c r="AV135" s="18"/>
      <c r="AW135" s="18"/>
      <c r="AX135" s="18"/>
      <c r="AY135" s="18"/>
    </row>
    <row r="136" spans="1:51" s="19" customFormat="1" ht="16.5" x14ac:dyDescent="0.45">
      <c r="A136" s="18"/>
      <c r="B136" s="18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  <c r="AU136" s="18"/>
      <c r="AV136" s="18"/>
      <c r="AW136" s="18"/>
      <c r="AX136" s="18"/>
      <c r="AY136" s="18"/>
    </row>
    <row r="137" spans="1:51" s="19" customFormat="1" ht="16.5" x14ac:dyDescent="0.45">
      <c r="A137" s="18"/>
      <c r="B137" s="18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  <c r="AU137" s="18"/>
      <c r="AV137" s="18"/>
      <c r="AW137" s="18"/>
      <c r="AX137" s="18"/>
      <c r="AY137" s="18"/>
    </row>
    <row r="138" spans="1:51" s="19" customFormat="1" ht="16.5" x14ac:dyDescent="0.45">
      <c r="A138" s="18"/>
      <c r="B138" s="18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29"/>
      <c r="AM138" s="129"/>
      <c r="AN138" s="129"/>
      <c r="AO138" s="129"/>
      <c r="AP138" s="129"/>
      <c r="AQ138" s="129"/>
      <c r="AR138" s="129"/>
      <c r="AS138" s="129"/>
      <c r="AT138" s="129"/>
      <c r="AU138" s="18"/>
      <c r="AV138" s="18"/>
      <c r="AW138" s="18"/>
      <c r="AX138" s="18"/>
      <c r="AY138" s="18"/>
    </row>
    <row r="139" spans="1:51" s="19" customFormat="1" ht="16.5" x14ac:dyDescent="0.45">
      <c r="A139" s="18"/>
      <c r="B139" s="18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  <c r="AU139" s="18"/>
      <c r="AV139" s="18"/>
      <c r="AW139" s="18"/>
      <c r="AX139" s="18"/>
      <c r="AY139" s="18"/>
    </row>
    <row r="140" spans="1:51" s="19" customFormat="1" ht="16.5" x14ac:dyDescent="0.45">
      <c r="A140" s="18"/>
      <c r="B140" s="18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  <c r="AN140" s="129"/>
      <c r="AO140" s="129"/>
      <c r="AP140" s="129"/>
      <c r="AQ140" s="129"/>
      <c r="AR140" s="129"/>
      <c r="AS140" s="129"/>
      <c r="AT140" s="129"/>
      <c r="AU140" s="18"/>
      <c r="AV140" s="18"/>
      <c r="AW140" s="18"/>
      <c r="AX140" s="18"/>
      <c r="AY140" s="18"/>
    </row>
    <row r="141" spans="1:51" s="19" customFormat="1" ht="16.5" x14ac:dyDescent="0.45">
      <c r="A141" s="18"/>
      <c r="B141" s="18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  <c r="AH141" s="129"/>
      <c r="AI141" s="129"/>
      <c r="AJ141" s="129"/>
      <c r="AK141" s="129"/>
      <c r="AL141" s="129"/>
      <c r="AM141" s="129"/>
      <c r="AN141" s="129"/>
      <c r="AO141" s="129"/>
      <c r="AP141" s="129"/>
      <c r="AQ141" s="129"/>
      <c r="AR141" s="129"/>
      <c r="AS141" s="129"/>
      <c r="AT141" s="129"/>
      <c r="AU141" s="18"/>
      <c r="AV141" s="18"/>
      <c r="AW141" s="18"/>
      <c r="AX141" s="18"/>
      <c r="AY141" s="18"/>
    </row>
    <row r="142" spans="1:51" s="19" customFormat="1" ht="16.5" x14ac:dyDescent="0.45">
      <c r="A142" s="18"/>
      <c r="B142" s="1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  <c r="AH142" s="129"/>
      <c r="AI142" s="129"/>
      <c r="AJ142" s="129"/>
      <c r="AK142" s="129"/>
      <c r="AL142" s="129"/>
      <c r="AM142" s="129"/>
      <c r="AN142" s="129"/>
      <c r="AO142" s="129"/>
      <c r="AP142" s="129"/>
      <c r="AQ142" s="129"/>
      <c r="AR142" s="129"/>
      <c r="AS142" s="129"/>
      <c r="AT142" s="129"/>
      <c r="AU142" s="18"/>
      <c r="AV142" s="18"/>
      <c r="AW142" s="18"/>
      <c r="AX142" s="18"/>
      <c r="AY142" s="18"/>
    </row>
    <row r="143" spans="1:51" s="19" customFormat="1" ht="16.5" x14ac:dyDescent="0.45">
      <c r="A143" s="18"/>
      <c r="B143" s="1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129"/>
      <c r="AS143" s="129"/>
      <c r="AT143" s="129"/>
      <c r="AU143" s="18"/>
      <c r="AV143" s="18"/>
      <c r="AW143" s="18"/>
      <c r="AX143" s="18"/>
      <c r="AY143" s="18"/>
    </row>
    <row r="144" spans="1:51" s="19" customFormat="1" ht="16.5" x14ac:dyDescent="0.45">
      <c r="A144" s="18"/>
      <c r="B144" s="18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29"/>
      <c r="AM144" s="129"/>
      <c r="AN144" s="129"/>
      <c r="AO144" s="129"/>
      <c r="AP144" s="129"/>
      <c r="AQ144" s="129"/>
      <c r="AR144" s="129"/>
      <c r="AS144" s="129"/>
      <c r="AT144" s="129"/>
      <c r="AU144" s="18"/>
      <c r="AV144" s="18"/>
      <c r="AW144" s="18"/>
      <c r="AX144" s="18"/>
      <c r="AY144" s="18"/>
    </row>
    <row r="145" spans="1:51" s="19" customFormat="1" ht="16.5" x14ac:dyDescent="0.45">
      <c r="A145" s="18"/>
      <c r="B145" s="1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29"/>
      <c r="AM145" s="129"/>
      <c r="AN145" s="129"/>
      <c r="AO145" s="129"/>
      <c r="AP145" s="129"/>
      <c r="AQ145" s="129"/>
      <c r="AR145" s="129"/>
      <c r="AS145" s="129"/>
      <c r="AT145" s="129"/>
      <c r="AU145" s="18"/>
      <c r="AV145" s="18"/>
      <c r="AW145" s="18"/>
      <c r="AX145" s="18"/>
      <c r="AY145" s="18"/>
    </row>
    <row r="146" spans="1:51" s="19" customFormat="1" ht="16.5" x14ac:dyDescent="0.45">
      <c r="A146" s="18"/>
      <c r="B146" s="1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  <c r="AT146" s="129"/>
      <c r="AU146" s="18"/>
      <c r="AV146" s="18"/>
      <c r="AW146" s="18"/>
      <c r="AX146" s="18"/>
      <c r="AY146" s="18"/>
    </row>
    <row r="147" spans="1:51" s="19" customFormat="1" ht="16.5" x14ac:dyDescent="0.45">
      <c r="A147" s="18"/>
      <c r="B147" s="18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  <c r="AN147" s="129"/>
      <c r="AO147" s="129"/>
      <c r="AP147" s="129"/>
      <c r="AQ147" s="129"/>
      <c r="AR147" s="129"/>
      <c r="AS147" s="129"/>
      <c r="AT147" s="129"/>
      <c r="AU147" s="18"/>
      <c r="AV147" s="18"/>
      <c r="AW147" s="18"/>
      <c r="AX147" s="18"/>
      <c r="AY147" s="18"/>
    </row>
    <row r="148" spans="1:51" s="19" customFormat="1" ht="16.5" x14ac:dyDescent="0.45">
      <c r="A148" s="18"/>
      <c r="B148" s="18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  <c r="AN148" s="129"/>
      <c r="AO148" s="129"/>
      <c r="AP148" s="129"/>
      <c r="AQ148" s="129"/>
      <c r="AR148" s="129"/>
      <c r="AS148" s="129"/>
      <c r="AT148" s="129"/>
      <c r="AU148" s="18"/>
      <c r="AV148" s="18"/>
      <c r="AW148" s="18"/>
      <c r="AX148" s="18"/>
      <c r="AY148" s="18"/>
    </row>
    <row r="149" spans="1:51" s="19" customFormat="1" ht="16.5" x14ac:dyDescent="0.45">
      <c r="A149" s="18"/>
      <c r="B149" s="18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29"/>
      <c r="AM149" s="129"/>
      <c r="AN149" s="129"/>
      <c r="AO149" s="129"/>
      <c r="AP149" s="129"/>
      <c r="AQ149" s="129"/>
      <c r="AR149" s="129"/>
      <c r="AS149" s="129"/>
      <c r="AT149" s="129"/>
      <c r="AU149" s="18"/>
      <c r="AV149" s="18"/>
      <c r="AW149" s="18"/>
      <c r="AX149" s="18"/>
      <c r="AY149" s="18"/>
    </row>
    <row r="150" spans="1:51" s="19" customFormat="1" ht="16.5" x14ac:dyDescent="0.45">
      <c r="A150" s="18"/>
      <c r="B150" s="1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  <c r="AN150" s="129"/>
      <c r="AO150" s="129"/>
      <c r="AP150" s="129"/>
      <c r="AQ150" s="129"/>
      <c r="AR150" s="129"/>
      <c r="AS150" s="129"/>
      <c r="AT150" s="129"/>
      <c r="AU150" s="18"/>
      <c r="AV150" s="18"/>
      <c r="AW150" s="18"/>
      <c r="AX150" s="18"/>
      <c r="AY150" s="18"/>
    </row>
    <row r="151" spans="1:51" s="19" customFormat="1" ht="16.5" x14ac:dyDescent="0.45">
      <c r="A151" s="18"/>
      <c r="B151" s="1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8"/>
      <c r="AV151" s="18"/>
      <c r="AW151" s="18"/>
      <c r="AX151" s="18"/>
      <c r="AY151" s="18"/>
    </row>
    <row r="152" spans="1:51" s="19" customFormat="1" ht="16.5" x14ac:dyDescent="0.45">
      <c r="A152" s="18"/>
      <c r="B152" s="18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  <c r="AN152" s="129"/>
      <c r="AO152" s="129"/>
      <c r="AP152" s="129"/>
      <c r="AQ152" s="129"/>
      <c r="AR152" s="129"/>
      <c r="AS152" s="129"/>
      <c r="AT152" s="129"/>
      <c r="AU152" s="18"/>
      <c r="AV152" s="18"/>
      <c r="AW152" s="18"/>
      <c r="AX152" s="18"/>
      <c r="AY152" s="18"/>
    </row>
    <row r="153" spans="1:51" s="19" customFormat="1" ht="16.5" x14ac:dyDescent="0.45">
      <c r="A153" s="18"/>
      <c r="B153" s="18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  <c r="AT153" s="129"/>
      <c r="AU153" s="18"/>
      <c r="AV153" s="18"/>
      <c r="AW153" s="18"/>
      <c r="AX153" s="18"/>
      <c r="AY153" s="18"/>
    </row>
    <row r="154" spans="1:51" s="19" customFormat="1" ht="16.5" x14ac:dyDescent="0.45">
      <c r="A154" s="18"/>
      <c r="B154" s="18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  <c r="AK154" s="129"/>
      <c r="AL154" s="129"/>
      <c r="AM154" s="129"/>
      <c r="AN154" s="129"/>
      <c r="AO154" s="129"/>
      <c r="AP154" s="129"/>
      <c r="AQ154" s="129"/>
      <c r="AR154" s="129"/>
      <c r="AS154" s="129"/>
      <c r="AT154" s="129"/>
      <c r="AU154" s="18"/>
      <c r="AV154" s="18"/>
      <c r="AW154" s="18"/>
      <c r="AX154" s="18"/>
      <c r="AY154" s="18"/>
    </row>
    <row r="155" spans="1:51" s="19" customFormat="1" ht="16.5" x14ac:dyDescent="0.45">
      <c r="A155" s="18"/>
      <c r="B155" s="18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29"/>
      <c r="AM155" s="129"/>
      <c r="AN155" s="129"/>
      <c r="AO155" s="129"/>
      <c r="AP155" s="129"/>
      <c r="AQ155" s="129"/>
      <c r="AR155" s="129"/>
      <c r="AS155" s="129"/>
      <c r="AT155" s="129"/>
      <c r="AU155" s="18"/>
      <c r="AV155" s="18"/>
      <c r="AW155" s="18"/>
      <c r="AX155" s="18"/>
      <c r="AY155" s="18"/>
    </row>
    <row r="156" spans="1:51" s="19" customFormat="1" ht="16.5" x14ac:dyDescent="0.45">
      <c r="A156" s="18"/>
      <c r="B156" s="18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8"/>
      <c r="AV156" s="18"/>
      <c r="AW156" s="18"/>
      <c r="AX156" s="18"/>
      <c r="AY156" s="18"/>
    </row>
    <row r="157" spans="1:51" s="19" customFormat="1" ht="16.5" x14ac:dyDescent="0.45">
      <c r="A157" s="18"/>
      <c r="B157" s="18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  <c r="AH157" s="129"/>
      <c r="AI157" s="129"/>
      <c r="AJ157" s="129"/>
      <c r="AK157" s="129"/>
      <c r="AL157" s="129"/>
      <c r="AM157" s="129"/>
      <c r="AN157" s="129"/>
      <c r="AO157" s="129"/>
      <c r="AP157" s="129"/>
      <c r="AQ157" s="129"/>
      <c r="AR157" s="129"/>
      <c r="AS157" s="129"/>
      <c r="AT157" s="129"/>
      <c r="AU157" s="18"/>
      <c r="AV157" s="18"/>
      <c r="AW157" s="18"/>
      <c r="AX157" s="18"/>
      <c r="AY157" s="18"/>
    </row>
    <row r="158" spans="1:51" s="19" customFormat="1" ht="16.5" x14ac:dyDescent="0.45">
      <c r="A158" s="18"/>
      <c r="B158" s="18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8"/>
      <c r="AV158" s="18"/>
      <c r="AW158" s="18"/>
      <c r="AX158" s="18"/>
      <c r="AY158" s="18"/>
    </row>
    <row r="159" spans="1:51" s="19" customFormat="1" ht="16.5" x14ac:dyDescent="0.45">
      <c r="A159" s="18"/>
      <c r="B159" s="18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8"/>
      <c r="AV159" s="18"/>
      <c r="AW159" s="18"/>
      <c r="AX159" s="18"/>
      <c r="AY159" s="18"/>
    </row>
    <row r="160" spans="1:51" s="19" customFormat="1" ht="16.5" x14ac:dyDescent="0.45">
      <c r="A160" s="18"/>
      <c r="B160" s="18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  <c r="AT160" s="129"/>
      <c r="AU160" s="18"/>
      <c r="AV160" s="18"/>
      <c r="AW160" s="18"/>
      <c r="AX160" s="18"/>
      <c r="AY160" s="18"/>
    </row>
    <row r="161" spans="1:51" s="19" customFormat="1" ht="16.5" x14ac:dyDescent="0.45">
      <c r="A161" s="18"/>
      <c r="B161" s="18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  <c r="AU161" s="18"/>
      <c r="AV161" s="18"/>
      <c r="AW161" s="18"/>
      <c r="AX161" s="18"/>
      <c r="AY161" s="18"/>
    </row>
    <row r="162" spans="1:51" s="19" customFormat="1" ht="16.5" x14ac:dyDescent="0.45">
      <c r="A162" s="18"/>
      <c r="B162" s="18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8"/>
      <c r="AV162" s="18"/>
      <c r="AW162" s="18"/>
      <c r="AX162" s="18"/>
      <c r="AY162" s="18"/>
    </row>
    <row r="163" spans="1:51" s="19" customFormat="1" ht="16.5" x14ac:dyDescent="0.45">
      <c r="A163" s="18"/>
      <c r="B163" s="18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8"/>
      <c r="AV163" s="18"/>
      <c r="AW163" s="18"/>
      <c r="AX163" s="18"/>
      <c r="AY163" s="18"/>
    </row>
    <row r="164" spans="1:51" s="19" customFormat="1" ht="16.5" x14ac:dyDescent="0.45">
      <c r="A164" s="18"/>
      <c r="B164" s="1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8"/>
      <c r="AV164" s="18"/>
      <c r="AW164" s="18"/>
      <c r="AX164" s="18"/>
      <c r="AY164" s="18"/>
    </row>
    <row r="165" spans="1:51" s="19" customFormat="1" ht="16.5" x14ac:dyDescent="0.45">
      <c r="A165" s="18"/>
      <c r="B165" s="1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8"/>
      <c r="AV165" s="18"/>
      <c r="AW165" s="18"/>
      <c r="AX165" s="18"/>
      <c r="AY165" s="18"/>
    </row>
    <row r="166" spans="1:51" s="19" customFormat="1" ht="16.5" x14ac:dyDescent="0.45">
      <c r="A166" s="18"/>
      <c r="B166" s="18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8"/>
      <c r="AV166" s="18"/>
      <c r="AW166" s="18"/>
      <c r="AX166" s="18"/>
      <c r="AY166" s="18"/>
    </row>
    <row r="167" spans="1:51" s="19" customFormat="1" ht="16.5" x14ac:dyDescent="0.45">
      <c r="A167" s="18"/>
      <c r="B167" s="18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8"/>
      <c r="AV167" s="18"/>
      <c r="AW167" s="18"/>
      <c r="AX167" s="18"/>
      <c r="AY167" s="18"/>
    </row>
    <row r="168" spans="1:51" s="19" customFormat="1" ht="16.5" x14ac:dyDescent="0.45">
      <c r="A168" s="18"/>
      <c r="B168" s="18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8"/>
      <c r="AV168" s="18"/>
      <c r="AW168" s="18"/>
      <c r="AX168" s="18"/>
      <c r="AY168" s="18"/>
    </row>
    <row r="169" spans="1:51" s="19" customFormat="1" ht="16.5" x14ac:dyDescent="0.45">
      <c r="A169" s="18"/>
      <c r="B169" s="18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8"/>
      <c r="AV169" s="18"/>
      <c r="AW169" s="18"/>
      <c r="AX169" s="18"/>
      <c r="AY169" s="18"/>
    </row>
    <row r="170" spans="1:51" s="19" customFormat="1" ht="16.5" x14ac:dyDescent="0.45">
      <c r="A170" s="18"/>
      <c r="B170" s="18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8"/>
      <c r="AV170" s="18"/>
      <c r="AW170" s="18"/>
      <c r="AX170" s="18"/>
      <c r="AY170" s="18"/>
    </row>
    <row r="171" spans="1:51" s="19" customFormat="1" ht="15.75" customHeight="1" x14ac:dyDescent="0.45">
      <c r="A171" s="18"/>
      <c r="B171" s="18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8"/>
      <c r="AV171" s="18"/>
      <c r="AW171" s="18"/>
      <c r="AX171" s="18"/>
      <c r="AY171" s="18"/>
    </row>
    <row r="172" spans="1:51" s="19" customFormat="1" ht="26.25" customHeight="1" x14ac:dyDescent="0.45">
      <c r="A172" s="18"/>
      <c r="B172" s="18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29"/>
      <c r="AM172" s="129"/>
      <c r="AN172" s="129"/>
      <c r="AO172" s="129"/>
      <c r="AP172" s="129"/>
      <c r="AQ172" s="129"/>
      <c r="AR172" s="129"/>
      <c r="AS172" s="129"/>
      <c r="AT172" s="129"/>
      <c r="AU172" s="18"/>
      <c r="AV172" s="18"/>
      <c r="AW172" s="18"/>
      <c r="AX172" s="18"/>
      <c r="AY172" s="18"/>
    </row>
    <row r="173" spans="1:51" s="19" customFormat="1" ht="15.75" customHeight="1" x14ac:dyDescent="0.45">
      <c r="A173" s="18"/>
      <c r="B173" s="1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  <c r="AH173" s="129"/>
      <c r="AI173" s="129"/>
      <c r="AJ173" s="129"/>
      <c r="AK173" s="129"/>
      <c r="AL173" s="129"/>
      <c r="AM173" s="129"/>
      <c r="AN173" s="129"/>
      <c r="AO173" s="129"/>
      <c r="AP173" s="129"/>
      <c r="AQ173" s="129"/>
      <c r="AR173" s="129"/>
      <c r="AS173" s="129"/>
      <c r="AT173" s="129"/>
      <c r="AU173" s="18"/>
      <c r="AV173" s="18"/>
      <c r="AW173" s="18"/>
      <c r="AX173" s="18"/>
      <c r="AY173" s="18"/>
    </row>
    <row r="174" spans="1:51" s="19" customFormat="1" ht="15.75" customHeight="1" x14ac:dyDescent="0.45">
      <c r="A174" s="18"/>
      <c r="B174" s="1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  <c r="AH174" s="129"/>
      <c r="AI174" s="129"/>
      <c r="AJ174" s="129"/>
      <c r="AK174" s="129"/>
      <c r="AL174" s="129"/>
      <c r="AM174" s="129"/>
      <c r="AN174" s="129"/>
      <c r="AO174" s="129"/>
      <c r="AP174" s="129"/>
      <c r="AQ174" s="129"/>
      <c r="AR174" s="129"/>
      <c r="AS174" s="129"/>
      <c r="AT174" s="129"/>
      <c r="AU174" s="18"/>
      <c r="AV174" s="18"/>
      <c r="AW174" s="18"/>
      <c r="AX174" s="18"/>
      <c r="AY174" s="18"/>
    </row>
    <row r="175" spans="1:51" s="19" customFormat="1" ht="15.75" customHeight="1" x14ac:dyDescent="0.45">
      <c r="A175" s="18"/>
      <c r="B175" s="18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  <c r="AH175" s="129"/>
      <c r="AI175" s="129"/>
      <c r="AJ175" s="129"/>
      <c r="AK175" s="129"/>
      <c r="AL175" s="129"/>
      <c r="AM175" s="129"/>
      <c r="AN175" s="129"/>
      <c r="AO175" s="129"/>
      <c r="AP175" s="129"/>
      <c r="AQ175" s="129"/>
      <c r="AR175" s="129"/>
      <c r="AS175" s="129"/>
      <c r="AT175" s="129"/>
      <c r="AU175" s="18"/>
      <c r="AV175" s="18"/>
      <c r="AW175" s="18"/>
      <c r="AX175" s="18"/>
      <c r="AY175" s="18"/>
    </row>
    <row r="176" spans="1:51" s="19" customFormat="1" ht="15.75" customHeight="1" x14ac:dyDescent="0.45">
      <c r="A176" s="18"/>
      <c r="B176" s="18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  <c r="AH176" s="129"/>
      <c r="AI176" s="129"/>
      <c r="AJ176" s="129"/>
      <c r="AK176" s="129"/>
      <c r="AL176" s="129"/>
      <c r="AM176" s="129"/>
      <c r="AN176" s="129"/>
      <c r="AO176" s="129"/>
      <c r="AP176" s="129"/>
      <c r="AQ176" s="129"/>
      <c r="AR176" s="129"/>
      <c r="AS176" s="129"/>
      <c r="AT176" s="129"/>
      <c r="AU176" s="18"/>
      <c r="AV176" s="18"/>
      <c r="AW176" s="18"/>
      <c r="AX176" s="18"/>
      <c r="AY176" s="18"/>
    </row>
    <row r="177" spans="1:51" s="19" customFormat="1" ht="15.75" customHeight="1" x14ac:dyDescent="0.45">
      <c r="A177" s="18"/>
      <c r="B177" s="18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  <c r="AH177" s="129"/>
      <c r="AI177" s="129"/>
      <c r="AJ177" s="129"/>
      <c r="AK177" s="129"/>
      <c r="AL177" s="129"/>
      <c r="AM177" s="129"/>
      <c r="AN177" s="129"/>
      <c r="AO177" s="129"/>
      <c r="AP177" s="129"/>
      <c r="AQ177" s="129"/>
      <c r="AR177" s="129"/>
      <c r="AS177" s="129"/>
      <c r="AT177" s="129"/>
      <c r="AU177" s="18"/>
      <c r="AV177" s="18"/>
      <c r="AW177" s="18"/>
      <c r="AX177" s="18"/>
      <c r="AY177" s="18"/>
    </row>
    <row r="178" spans="1:51" s="19" customFormat="1" ht="15.75" customHeight="1" x14ac:dyDescent="0.45">
      <c r="A178" s="18"/>
      <c r="B178" s="18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  <c r="AH178" s="129"/>
      <c r="AI178" s="129"/>
      <c r="AJ178" s="129"/>
      <c r="AK178" s="129"/>
      <c r="AL178" s="129"/>
      <c r="AM178" s="129"/>
      <c r="AN178" s="129"/>
      <c r="AO178" s="129"/>
      <c r="AP178" s="129"/>
      <c r="AQ178" s="129"/>
      <c r="AR178" s="129"/>
      <c r="AS178" s="129"/>
      <c r="AT178" s="129"/>
      <c r="AU178" s="18"/>
      <c r="AV178" s="18"/>
      <c r="AW178" s="18"/>
      <c r="AX178" s="18"/>
      <c r="AY178" s="18"/>
    </row>
    <row r="179" spans="1:51" s="19" customFormat="1" ht="15.75" customHeight="1" x14ac:dyDescent="0.45">
      <c r="A179" s="18"/>
      <c r="B179" s="18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  <c r="AH179" s="129"/>
      <c r="AI179" s="129"/>
      <c r="AJ179" s="129"/>
      <c r="AK179" s="129"/>
      <c r="AL179" s="129"/>
      <c r="AM179" s="129"/>
      <c r="AN179" s="129"/>
      <c r="AO179" s="129"/>
      <c r="AP179" s="129"/>
      <c r="AQ179" s="129"/>
      <c r="AR179" s="129"/>
      <c r="AS179" s="129"/>
      <c r="AT179" s="129"/>
      <c r="AU179" s="18"/>
      <c r="AV179" s="18"/>
      <c r="AW179" s="18"/>
      <c r="AX179" s="18"/>
      <c r="AY179" s="18"/>
    </row>
    <row r="180" spans="1:51" s="19" customFormat="1" ht="15.75" customHeight="1" x14ac:dyDescent="0.45">
      <c r="A180" s="18"/>
      <c r="B180" s="18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29"/>
      <c r="AM180" s="129"/>
      <c r="AN180" s="129"/>
      <c r="AO180" s="129"/>
      <c r="AP180" s="129"/>
      <c r="AQ180" s="129"/>
      <c r="AR180" s="129"/>
      <c r="AS180" s="129"/>
      <c r="AT180" s="129"/>
      <c r="AU180" s="18"/>
      <c r="AV180" s="18"/>
      <c r="AW180" s="18"/>
      <c r="AX180" s="18"/>
      <c r="AY180" s="18"/>
    </row>
    <row r="181" spans="1:51" s="19" customFormat="1" ht="15.75" customHeight="1" x14ac:dyDescent="0.45">
      <c r="A181" s="18"/>
      <c r="B181" s="18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29"/>
      <c r="AM181" s="129"/>
      <c r="AN181" s="129"/>
      <c r="AO181" s="129"/>
      <c r="AP181" s="129"/>
      <c r="AQ181" s="129"/>
      <c r="AR181" s="129"/>
      <c r="AS181" s="129"/>
      <c r="AT181" s="129"/>
      <c r="AU181" s="18"/>
      <c r="AV181" s="18"/>
      <c r="AW181" s="18"/>
      <c r="AX181" s="18"/>
      <c r="AY181" s="18"/>
    </row>
    <row r="182" spans="1:51" s="19" customFormat="1" ht="15.75" customHeight="1" x14ac:dyDescent="0.45">
      <c r="A182" s="18"/>
      <c r="B182" s="18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/>
      <c r="AQ182" s="129"/>
      <c r="AR182" s="129"/>
      <c r="AS182" s="129"/>
      <c r="AT182" s="129"/>
      <c r="AU182" s="18"/>
      <c r="AV182" s="18"/>
      <c r="AW182" s="18"/>
      <c r="AX182" s="18"/>
      <c r="AY182" s="18"/>
    </row>
    <row r="183" spans="1:51" s="19" customFormat="1" ht="15.75" customHeight="1" x14ac:dyDescent="0.45">
      <c r="A183" s="18"/>
      <c r="B183" s="18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/>
      <c r="AQ183" s="129"/>
      <c r="AR183" s="129"/>
      <c r="AS183" s="129"/>
      <c r="AT183" s="129"/>
      <c r="AU183" s="18"/>
      <c r="AV183" s="18"/>
      <c r="AW183" s="18"/>
      <c r="AX183" s="18"/>
      <c r="AY183" s="18"/>
    </row>
    <row r="184" spans="1:51" s="19" customFormat="1" ht="15.75" customHeight="1" x14ac:dyDescent="0.45">
      <c r="A184" s="18"/>
      <c r="B184" s="18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29"/>
      <c r="AM184" s="129"/>
      <c r="AN184" s="129"/>
      <c r="AO184" s="129"/>
      <c r="AP184" s="129"/>
      <c r="AQ184" s="129"/>
      <c r="AR184" s="129"/>
      <c r="AS184" s="129"/>
      <c r="AT184" s="129"/>
      <c r="AU184" s="18"/>
      <c r="AV184" s="18"/>
      <c r="AW184" s="18"/>
      <c r="AX184" s="18"/>
      <c r="AY184" s="18"/>
    </row>
    <row r="185" spans="1:51" s="19" customFormat="1" ht="15.75" customHeight="1" x14ac:dyDescent="0.45">
      <c r="A185" s="18"/>
      <c r="B185" s="18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  <c r="AH185" s="129"/>
      <c r="AI185" s="129"/>
      <c r="AJ185" s="129"/>
      <c r="AK185" s="129"/>
      <c r="AL185" s="129"/>
      <c r="AM185" s="129"/>
      <c r="AN185" s="129"/>
      <c r="AO185" s="129"/>
      <c r="AP185" s="129"/>
      <c r="AQ185" s="129"/>
      <c r="AR185" s="129"/>
      <c r="AS185" s="129"/>
      <c r="AT185" s="129"/>
      <c r="AU185" s="18"/>
      <c r="AV185" s="18"/>
      <c r="AW185" s="18"/>
      <c r="AX185" s="18"/>
      <c r="AY185" s="18"/>
    </row>
    <row r="186" spans="1:51" s="19" customFormat="1" ht="15.75" customHeight="1" x14ac:dyDescent="0.45">
      <c r="A186" s="18"/>
      <c r="B186" s="18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  <c r="AH186" s="129"/>
      <c r="AI186" s="129"/>
      <c r="AJ186" s="129"/>
      <c r="AK186" s="129"/>
      <c r="AL186" s="129"/>
      <c r="AM186" s="129"/>
      <c r="AN186" s="129"/>
      <c r="AO186" s="129"/>
      <c r="AP186" s="129"/>
      <c r="AQ186" s="129"/>
      <c r="AR186" s="129"/>
      <c r="AS186" s="129"/>
      <c r="AT186" s="129"/>
      <c r="AU186" s="18"/>
      <c r="AV186" s="18"/>
      <c r="AW186" s="18"/>
      <c r="AX186" s="18"/>
      <c r="AY186" s="18"/>
    </row>
    <row r="187" spans="1:51" s="19" customFormat="1" ht="15.75" customHeight="1" x14ac:dyDescent="0.45">
      <c r="A187" s="18"/>
      <c r="B187" s="18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  <c r="AT187" s="129"/>
      <c r="AU187" s="18"/>
      <c r="AV187" s="18"/>
      <c r="AW187" s="18"/>
      <c r="AX187" s="18"/>
      <c r="AY187" s="18"/>
    </row>
    <row r="188" spans="1:51" s="19" customFormat="1" ht="15.75" customHeight="1" x14ac:dyDescent="0.45">
      <c r="A188" s="18"/>
      <c r="B188" s="18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29"/>
      <c r="AM188" s="129"/>
      <c r="AN188" s="129"/>
      <c r="AO188" s="129"/>
      <c r="AP188" s="129"/>
      <c r="AQ188" s="129"/>
      <c r="AR188" s="129"/>
      <c r="AS188" s="129"/>
      <c r="AT188" s="129"/>
      <c r="AU188" s="18"/>
      <c r="AV188" s="18"/>
      <c r="AW188" s="18"/>
      <c r="AX188" s="18"/>
      <c r="AY188" s="18"/>
    </row>
    <row r="189" spans="1:51" s="19" customFormat="1" ht="15.75" customHeight="1" x14ac:dyDescent="0.45">
      <c r="A189" s="18"/>
      <c r="B189" s="18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  <c r="AH189" s="129"/>
      <c r="AI189" s="129"/>
      <c r="AJ189" s="129"/>
      <c r="AK189" s="129"/>
      <c r="AL189" s="129"/>
      <c r="AM189" s="129"/>
      <c r="AN189" s="129"/>
      <c r="AO189" s="129"/>
      <c r="AP189" s="129"/>
      <c r="AQ189" s="129"/>
      <c r="AR189" s="129"/>
      <c r="AS189" s="129"/>
      <c r="AT189" s="129"/>
      <c r="AU189" s="18"/>
      <c r="AV189" s="18"/>
      <c r="AW189" s="18"/>
      <c r="AX189" s="18"/>
      <c r="AY189" s="18"/>
    </row>
    <row r="190" spans="1:51" s="19" customFormat="1" ht="15.75" customHeight="1" x14ac:dyDescent="0.45">
      <c r="A190" s="18"/>
      <c r="B190" s="18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  <c r="AR190" s="129"/>
      <c r="AS190" s="129"/>
      <c r="AT190" s="129"/>
      <c r="AU190" s="18"/>
      <c r="AV190" s="18"/>
      <c r="AW190" s="18"/>
      <c r="AX190" s="18"/>
      <c r="AY190" s="18"/>
    </row>
    <row r="191" spans="1:51" s="19" customFormat="1" ht="15.75" customHeight="1" x14ac:dyDescent="0.45">
      <c r="A191" s="18"/>
      <c r="B191" s="18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  <c r="AT191" s="129"/>
      <c r="AU191" s="18"/>
      <c r="AV191" s="18"/>
      <c r="AW191" s="18"/>
      <c r="AX191" s="18"/>
      <c r="AY191" s="18"/>
    </row>
    <row r="192" spans="1:51" s="19" customFormat="1" ht="15.75" customHeight="1" x14ac:dyDescent="0.45">
      <c r="A192" s="18"/>
      <c r="B192" s="18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  <c r="AH192" s="129"/>
      <c r="AI192" s="129"/>
      <c r="AJ192" s="129"/>
      <c r="AK192" s="129"/>
      <c r="AL192" s="129"/>
      <c r="AM192" s="129"/>
      <c r="AN192" s="129"/>
      <c r="AO192" s="129"/>
      <c r="AP192" s="129"/>
      <c r="AQ192" s="129"/>
      <c r="AR192" s="129"/>
      <c r="AS192" s="129"/>
      <c r="AT192" s="129"/>
      <c r="AU192" s="18"/>
      <c r="AV192" s="18"/>
      <c r="AW192" s="18"/>
      <c r="AX192" s="18"/>
      <c r="AY192" s="18"/>
    </row>
    <row r="193" spans="1:51" ht="15.75" customHeight="1" x14ac:dyDescent="0.45">
      <c r="A193" s="1"/>
      <c r="B193" s="1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"/>
      <c r="AV193" s="1"/>
      <c r="AW193" s="1"/>
      <c r="AX193" s="1"/>
      <c r="AY193" s="1"/>
    </row>
    <row r="194" spans="1:51" ht="15.75" customHeight="1" x14ac:dyDescent="0.45">
      <c r="A194" s="1"/>
      <c r="B194" s="1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"/>
      <c r="AV194" s="1"/>
      <c r="AW194" s="1"/>
      <c r="AX194" s="1"/>
      <c r="AY194" s="1"/>
    </row>
    <row r="195" spans="1:51" ht="15.75" customHeight="1" x14ac:dyDescent="0.45">
      <c r="A195" s="1"/>
      <c r="B195" s="1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"/>
      <c r="AV195" s="1"/>
      <c r="AW195" s="1"/>
      <c r="AX195" s="1"/>
      <c r="AY195" s="1"/>
    </row>
    <row r="196" spans="1:51" ht="15.75" customHeight="1" x14ac:dyDescent="0.45">
      <c r="A196" s="1"/>
      <c r="B196" s="1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"/>
      <c r="AV196" s="1"/>
      <c r="AW196" s="1"/>
      <c r="AX196" s="1"/>
      <c r="AY196" s="1"/>
    </row>
    <row r="197" spans="1:51" ht="15.75" customHeight="1" x14ac:dyDescent="0.45">
      <c r="A197" s="1"/>
      <c r="B197" s="1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"/>
      <c r="AV197" s="1"/>
      <c r="AW197" s="1"/>
      <c r="AX197" s="1"/>
      <c r="AY197" s="1"/>
    </row>
    <row r="198" spans="1:51" ht="15.75" customHeight="1" x14ac:dyDescent="0.45">
      <c r="A198" s="1"/>
      <c r="B198" s="1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"/>
      <c r="AV198" s="1"/>
      <c r="AW198" s="1"/>
      <c r="AX198" s="1"/>
      <c r="AY198" s="1"/>
    </row>
    <row r="199" spans="1:51" ht="31.5" customHeight="1" x14ac:dyDescent="0.45">
      <c r="A199" s="1"/>
      <c r="B199" s="1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"/>
      <c r="AV199" s="1"/>
      <c r="AW199" s="1"/>
      <c r="AX199" s="1"/>
      <c r="AY199" s="1"/>
    </row>
    <row r="200" spans="1:51" ht="15.75" customHeight="1" x14ac:dyDescent="0.45">
      <c r="A200" s="1"/>
      <c r="B200" s="1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"/>
      <c r="AV200" s="1"/>
      <c r="AW200" s="1"/>
      <c r="AX200" s="1"/>
      <c r="AY200" s="1"/>
    </row>
    <row r="201" spans="1:51" ht="15.75" customHeight="1" x14ac:dyDescent="0.45">
      <c r="A201" s="1"/>
      <c r="B201" s="1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"/>
      <c r="AV201" s="1"/>
      <c r="AW201" s="1"/>
      <c r="AX201" s="1"/>
      <c r="AY201" s="1"/>
    </row>
    <row r="202" spans="1:51" ht="15.75" customHeight="1" x14ac:dyDescent="0.45">
      <c r="A202" s="1"/>
      <c r="B202" s="1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"/>
      <c r="AV202" s="1"/>
      <c r="AW202" s="1"/>
      <c r="AX202" s="1"/>
      <c r="AY202" s="1"/>
    </row>
    <row r="203" spans="1:51" ht="15.75" customHeight="1" x14ac:dyDescent="0.45">
      <c r="A203" s="1"/>
      <c r="B203" s="1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"/>
      <c r="AV203" s="1"/>
      <c r="AW203" s="1"/>
      <c r="AX203" s="1"/>
      <c r="AY203" s="1"/>
    </row>
    <row r="204" spans="1:51" ht="15.75" customHeight="1" x14ac:dyDescent="0.45">
      <c r="A204" s="1"/>
      <c r="B204" s="1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"/>
      <c r="AV204" s="1"/>
      <c r="AW204" s="1"/>
      <c r="AX204" s="1"/>
      <c r="AY204" s="1"/>
    </row>
    <row r="205" spans="1:51" ht="15.75" customHeight="1" x14ac:dyDescent="0.45">
      <c r="A205" s="1"/>
      <c r="B205" s="1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"/>
      <c r="AV205" s="1"/>
      <c r="AW205" s="1"/>
      <c r="AX205" s="1"/>
      <c r="AY205" s="1"/>
    </row>
    <row r="206" spans="1:51" ht="15.75" customHeight="1" x14ac:dyDescent="0.45">
      <c r="A206" s="1"/>
      <c r="B206" s="1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"/>
      <c r="AV206" s="1"/>
      <c r="AW206" s="1"/>
      <c r="AX206" s="1"/>
      <c r="AY206" s="1"/>
    </row>
    <row r="207" spans="1:51" ht="15.75" customHeight="1" x14ac:dyDescent="0.45">
      <c r="A207" s="1"/>
      <c r="B207" s="1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"/>
      <c r="AV207" s="1"/>
      <c r="AW207" s="1"/>
      <c r="AX207" s="1"/>
      <c r="AY207" s="1"/>
    </row>
    <row r="208" spans="1:51" ht="15.75" customHeight="1" x14ac:dyDescent="0.45">
      <c r="A208" s="1"/>
      <c r="B208" s="1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"/>
      <c r="AV208" s="1"/>
      <c r="AW208" s="1"/>
      <c r="AX208" s="1"/>
      <c r="AY208" s="1"/>
    </row>
    <row r="209" spans="1:51" ht="15.75" customHeight="1" x14ac:dyDescent="0.45">
      <c r="A209" s="1"/>
      <c r="B209" s="1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"/>
      <c r="AV209" s="1"/>
      <c r="AW209" s="1"/>
      <c r="AX209" s="1"/>
      <c r="AY209" s="1"/>
    </row>
    <row r="210" spans="1:51" ht="15.75" customHeight="1" x14ac:dyDescent="0.45">
      <c r="A210" s="1"/>
      <c r="B210" s="1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"/>
      <c r="AV210" s="1"/>
      <c r="AW210" s="1"/>
      <c r="AX210" s="1"/>
      <c r="AY210" s="1"/>
    </row>
    <row r="211" spans="1:51" ht="15.75" customHeight="1" x14ac:dyDescent="0.45">
      <c r="A211" s="1"/>
      <c r="B211" s="1"/>
      <c r="C211" s="128" t="s">
        <v>41</v>
      </c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"/>
      <c r="AV211" s="1"/>
      <c r="AW211" s="1"/>
      <c r="AX211" s="1"/>
      <c r="AY211" s="1"/>
    </row>
    <row r="212" spans="1:51" ht="15.75" customHeight="1" x14ac:dyDescent="0.45">
      <c r="A212" s="1"/>
      <c r="B212" s="1"/>
      <c r="C212" s="128" t="s">
        <v>42</v>
      </c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"/>
      <c r="AV212" s="1"/>
      <c r="AW212" s="1"/>
      <c r="AX212" s="1"/>
      <c r="AY212" s="1"/>
    </row>
    <row r="213" spans="1:51" ht="15.75" customHeight="1" x14ac:dyDescent="0.45">
      <c r="A213" s="1"/>
      <c r="B213" s="1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"/>
      <c r="AV213" s="1"/>
      <c r="AW213" s="1"/>
      <c r="AX213" s="1"/>
      <c r="AY213" s="1"/>
    </row>
    <row r="214" spans="1:51" ht="15.75" customHeight="1" x14ac:dyDescent="0.45">
      <c r="A214" s="1"/>
      <c r="B214" s="1"/>
      <c r="C214" s="128" t="s">
        <v>43</v>
      </c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"/>
      <c r="AV214" s="1"/>
      <c r="AW214" s="1"/>
      <c r="AX214" s="1"/>
      <c r="AY214" s="1"/>
    </row>
    <row r="215" spans="1:51" ht="15.75" customHeight="1" x14ac:dyDescent="0.45">
      <c r="A215" s="1"/>
      <c r="B215" s="1"/>
      <c r="C215" s="128" t="s">
        <v>44</v>
      </c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"/>
      <c r="AV215" s="1"/>
      <c r="AW215" s="1"/>
      <c r="AX215" s="1"/>
      <c r="AY215" s="1"/>
    </row>
    <row r="216" spans="1:51" ht="15.75" customHeight="1" x14ac:dyDescent="0.45">
      <c r="A216" s="1"/>
      <c r="B216" s="1"/>
      <c r="C216" s="128" t="s">
        <v>45</v>
      </c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"/>
      <c r="AV216" s="1"/>
      <c r="AW216" s="1"/>
      <c r="AX216" s="1"/>
      <c r="AY216" s="1"/>
    </row>
    <row r="217" spans="1:51" ht="15.75" customHeight="1" x14ac:dyDescent="0.45">
      <c r="A217" s="1"/>
      <c r="B217" s="1"/>
      <c r="C217" s="128" t="s">
        <v>46</v>
      </c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"/>
      <c r="AV217" s="1"/>
      <c r="AW217" s="1"/>
      <c r="AX217" s="1"/>
      <c r="AY217" s="1"/>
    </row>
    <row r="218" spans="1:51" ht="15.75" customHeight="1" x14ac:dyDescent="0.45">
      <c r="A218" s="1"/>
      <c r="B218" s="1"/>
      <c r="C218" s="128" t="s">
        <v>47</v>
      </c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"/>
      <c r="AV218" s="1"/>
      <c r="AW218" s="1"/>
      <c r="AX218" s="1"/>
      <c r="AY218" s="1"/>
    </row>
    <row r="219" spans="1:51" ht="15.75" customHeight="1" x14ac:dyDescent="0.45">
      <c r="A219" s="1"/>
      <c r="B219" s="1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"/>
      <c r="AV219" s="1"/>
      <c r="AW219" s="1"/>
      <c r="AX219" s="1"/>
      <c r="AY219" s="1"/>
    </row>
    <row r="220" spans="1:51" ht="15.75" customHeight="1" x14ac:dyDescent="0.45">
      <c r="A220" s="1"/>
      <c r="B220" s="1"/>
      <c r="C220" s="128" t="s">
        <v>48</v>
      </c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"/>
      <c r="AV220" s="1"/>
      <c r="AW220" s="1"/>
      <c r="AX220" s="1"/>
      <c r="AY220" s="1"/>
    </row>
    <row r="221" spans="1:51" ht="15.75" customHeight="1" x14ac:dyDescent="0.45">
      <c r="A221" s="1"/>
      <c r="B221" s="1"/>
      <c r="C221" s="128" t="s">
        <v>49</v>
      </c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"/>
      <c r="AV221" s="1"/>
      <c r="AW221" s="1"/>
      <c r="AX221" s="1"/>
      <c r="AY221" s="1"/>
    </row>
    <row r="222" spans="1:51" ht="15.75" customHeight="1" x14ac:dyDescent="0.45">
      <c r="A222" s="1"/>
      <c r="B222" s="1"/>
      <c r="C222" s="128" t="s">
        <v>50</v>
      </c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"/>
      <c r="AV222" s="1"/>
      <c r="AW222" s="1"/>
      <c r="AX222" s="1"/>
      <c r="AY222" s="1"/>
    </row>
    <row r="223" spans="1:51" ht="15.75" customHeight="1" x14ac:dyDescent="0.45">
      <c r="A223" s="1"/>
      <c r="B223" s="1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"/>
      <c r="AV223" s="1"/>
      <c r="AW223" s="1"/>
      <c r="AX223" s="1"/>
      <c r="AY223" s="1"/>
    </row>
    <row r="224" spans="1:51" ht="15.75" customHeight="1" x14ac:dyDescent="0.45">
      <c r="A224" s="1"/>
      <c r="B224" s="1"/>
      <c r="C224" s="128" t="s">
        <v>51</v>
      </c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"/>
      <c r="AV224" s="1"/>
      <c r="AW224" s="1"/>
      <c r="AX224" s="1"/>
      <c r="AY224" s="1"/>
    </row>
    <row r="225" spans="1:51" ht="15.75" customHeight="1" x14ac:dyDescent="0.45">
      <c r="A225" s="1"/>
      <c r="B225" s="1"/>
      <c r="C225" s="128" t="s">
        <v>52</v>
      </c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"/>
      <c r="AV225" s="1"/>
      <c r="AW225" s="1"/>
      <c r="AX225" s="1"/>
      <c r="AY225" s="1"/>
    </row>
    <row r="226" spans="1:51" ht="15.75" customHeight="1" x14ac:dyDescent="0.45">
      <c r="A226" s="1"/>
      <c r="B226" s="1"/>
      <c r="C226" s="128" t="s">
        <v>53</v>
      </c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"/>
      <c r="AV226" s="1"/>
      <c r="AW226" s="1"/>
      <c r="AX226" s="1"/>
      <c r="AY226" s="1"/>
    </row>
    <row r="227" spans="1:51" ht="15.75" customHeight="1" x14ac:dyDescent="0.45">
      <c r="A227" s="1"/>
      <c r="B227" s="1"/>
      <c r="C227" s="128" t="s">
        <v>54</v>
      </c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"/>
      <c r="AV227" s="1"/>
      <c r="AW227" s="1"/>
      <c r="AX227" s="1"/>
      <c r="AY227" s="1"/>
    </row>
    <row r="228" spans="1:51" ht="15.75" customHeight="1" x14ac:dyDescent="0.45">
      <c r="A228" s="1"/>
      <c r="B228" s="1"/>
      <c r="C228" s="128" t="s">
        <v>55</v>
      </c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"/>
      <c r="AV228" s="1"/>
      <c r="AW228" s="1"/>
      <c r="AX228" s="1"/>
      <c r="AY228" s="1"/>
    </row>
    <row r="229" spans="1:51" ht="15.75" customHeight="1" x14ac:dyDescent="0.45">
      <c r="A229" s="1"/>
      <c r="B229" s="1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"/>
      <c r="AV229" s="1"/>
      <c r="AW229" s="1"/>
      <c r="AX229" s="1"/>
      <c r="AY229" s="1"/>
    </row>
    <row r="230" spans="1:51" ht="15.75" customHeight="1" x14ac:dyDescent="0.45">
      <c r="A230" s="1"/>
      <c r="B230" s="1"/>
      <c r="C230" s="128" t="s">
        <v>56</v>
      </c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"/>
      <c r="AV230" s="1"/>
      <c r="AW230" s="1"/>
      <c r="AX230" s="1"/>
      <c r="AY230" s="1"/>
    </row>
    <row r="231" spans="1:51" ht="15.75" customHeight="1" x14ac:dyDescent="0.45">
      <c r="A231" s="1"/>
      <c r="B231" s="1"/>
      <c r="C231" s="128" t="s">
        <v>57</v>
      </c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"/>
      <c r="AV231" s="1"/>
      <c r="AW231" s="1"/>
      <c r="AX231" s="1"/>
      <c r="AY231" s="1"/>
    </row>
    <row r="232" spans="1:51" ht="15.75" customHeight="1" x14ac:dyDescent="0.45">
      <c r="A232" s="1"/>
      <c r="B232" s="1"/>
      <c r="C232" s="128" t="s">
        <v>58</v>
      </c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"/>
      <c r="AV232" s="1"/>
      <c r="AW232" s="1"/>
      <c r="AX232" s="1"/>
      <c r="AY232" s="1"/>
    </row>
    <row r="233" spans="1:51" ht="15.75" customHeight="1" x14ac:dyDescent="0.45">
      <c r="A233" s="1"/>
      <c r="B233" s="1"/>
      <c r="C233" s="128" t="s">
        <v>59</v>
      </c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"/>
      <c r="AV233" s="1"/>
      <c r="AW233" s="1"/>
      <c r="AX233" s="1"/>
      <c r="AY233" s="1"/>
    </row>
    <row r="234" spans="1:51" ht="15.75" customHeight="1" x14ac:dyDescent="0.45">
      <c r="A234" s="1"/>
      <c r="B234" s="1"/>
      <c r="C234" s="128" t="s">
        <v>60</v>
      </c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"/>
      <c r="AV234" s="1"/>
      <c r="AW234" s="1"/>
      <c r="AX234" s="1"/>
      <c r="AY234" s="1"/>
    </row>
    <row r="235" spans="1:51" ht="15.75" customHeight="1" x14ac:dyDescent="0.45">
      <c r="A235" s="1"/>
      <c r="B235" s="1"/>
      <c r="C235" s="128" t="s">
        <v>61</v>
      </c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"/>
      <c r="AV235" s="1"/>
      <c r="AW235" s="1"/>
      <c r="AX235" s="1"/>
      <c r="AY235" s="1"/>
    </row>
    <row r="236" spans="1:51" ht="15.75" customHeight="1" x14ac:dyDescent="0.45">
      <c r="A236" s="1"/>
      <c r="B236" s="1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"/>
      <c r="AV236" s="1"/>
      <c r="AW236" s="1"/>
      <c r="AX236" s="1"/>
      <c r="AY236" s="1"/>
    </row>
    <row r="237" spans="1:51" ht="15.75" customHeight="1" x14ac:dyDescent="0.45">
      <c r="A237" s="1"/>
      <c r="B237" s="1"/>
      <c r="C237" s="128" t="s">
        <v>62</v>
      </c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"/>
      <c r="AV237" s="1"/>
      <c r="AW237" s="1"/>
      <c r="AX237" s="1"/>
      <c r="AY237" s="1"/>
    </row>
    <row r="238" spans="1:51" ht="15.75" customHeight="1" x14ac:dyDescent="0.45">
      <c r="A238" s="1"/>
      <c r="B238" s="1"/>
      <c r="C238" s="128" t="s">
        <v>63</v>
      </c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"/>
      <c r="AV238" s="1"/>
      <c r="AW238" s="1"/>
      <c r="AX238" s="1"/>
      <c r="AY238" s="1"/>
    </row>
    <row r="239" spans="1:51" ht="15.75" customHeight="1" x14ac:dyDescent="0.45">
      <c r="A239" s="1"/>
      <c r="B239" s="1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"/>
      <c r="AV239" s="1"/>
      <c r="AW239" s="1"/>
      <c r="AX239" s="1"/>
      <c r="AY239" s="1"/>
    </row>
    <row r="240" spans="1:51" ht="15.75" customHeight="1" x14ac:dyDescent="0.45">
      <c r="A240" s="1"/>
      <c r="B240" s="1"/>
      <c r="C240" s="128" t="s">
        <v>64</v>
      </c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"/>
      <c r="AV240" s="1"/>
      <c r="AW240" s="1"/>
      <c r="AX240" s="1"/>
      <c r="AY240" s="1"/>
    </row>
    <row r="241" spans="1:51" ht="15.75" customHeight="1" x14ac:dyDescent="0.45">
      <c r="A241" s="1"/>
      <c r="B241" s="1"/>
      <c r="C241" s="128" t="s">
        <v>65</v>
      </c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"/>
      <c r="AV241" s="1"/>
      <c r="AW241" s="1"/>
      <c r="AX241" s="1"/>
      <c r="AY241" s="1"/>
    </row>
    <row r="242" spans="1:51" ht="15.75" customHeight="1" x14ac:dyDescent="0.45">
      <c r="A242" s="1"/>
      <c r="B242" s="1"/>
      <c r="C242" s="128" t="s">
        <v>66</v>
      </c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"/>
      <c r="AV242" s="1"/>
      <c r="AW242" s="1"/>
      <c r="AX242" s="1"/>
      <c r="AY242" s="1"/>
    </row>
    <row r="243" spans="1:51" ht="15.75" customHeight="1" x14ac:dyDescent="0.45">
      <c r="A243" s="1"/>
      <c r="B243" s="1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"/>
      <c r="AV243" s="1"/>
      <c r="AW243" s="1"/>
      <c r="AX243" s="1"/>
      <c r="AY243" s="1"/>
    </row>
    <row r="244" spans="1:51" ht="15.75" customHeight="1" x14ac:dyDescent="0.45">
      <c r="A244" s="1"/>
      <c r="B244" s="1"/>
      <c r="C244" s="128" t="s">
        <v>67</v>
      </c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"/>
      <c r="AV244" s="1"/>
      <c r="AW244" s="1"/>
      <c r="AX244" s="1"/>
      <c r="AY244" s="1"/>
    </row>
    <row r="245" spans="1:51" ht="15.75" customHeight="1" x14ac:dyDescent="0.45">
      <c r="A245" s="1"/>
      <c r="B245" s="1"/>
      <c r="C245" s="128" t="s">
        <v>68</v>
      </c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"/>
      <c r="AV245" s="1"/>
      <c r="AW245" s="1"/>
      <c r="AX245" s="1"/>
      <c r="AY245" s="1"/>
    </row>
    <row r="246" spans="1:51" ht="15.75" customHeight="1" x14ac:dyDescent="0.45">
      <c r="A246" s="1"/>
      <c r="B246" s="1"/>
      <c r="C246" s="128" t="s">
        <v>69</v>
      </c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"/>
      <c r="AV246" s="1"/>
      <c r="AW246" s="1"/>
      <c r="AX246" s="1"/>
      <c r="AY246" s="1"/>
    </row>
    <row r="247" spans="1:51" ht="15.75" customHeight="1" x14ac:dyDescent="0.45">
      <c r="A247" s="1"/>
      <c r="B247" s="1"/>
      <c r="C247" s="128" t="s">
        <v>70</v>
      </c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"/>
      <c r="AV247" s="1"/>
      <c r="AW247" s="1"/>
      <c r="AX247" s="1"/>
      <c r="AY247" s="1"/>
    </row>
    <row r="248" spans="1:51" ht="15.75" customHeight="1" x14ac:dyDescent="0.45">
      <c r="A248" s="1"/>
      <c r="B248" s="1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"/>
      <c r="AV248" s="1"/>
      <c r="AW248" s="1"/>
      <c r="AX248" s="1"/>
      <c r="AY248" s="1"/>
    </row>
    <row r="249" spans="1:51" ht="15.75" customHeight="1" x14ac:dyDescent="0.45">
      <c r="A249" s="1"/>
      <c r="B249" s="1"/>
      <c r="C249" s="128" t="s">
        <v>71</v>
      </c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"/>
      <c r="AV249" s="1"/>
      <c r="AW249" s="1"/>
      <c r="AX249" s="1"/>
      <c r="AY249" s="1"/>
    </row>
    <row r="250" spans="1:51" ht="15.75" customHeight="1" x14ac:dyDescent="0.45">
      <c r="A250" s="1"/>
      <c r="B250" s="1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"/>
      <c r="AV250" s="1"/>
      <c r="AW250" s="1"/>
      <c r="AX250" s="1"/>
      <c r="AY250" s="1"/>
    </row>
    <row r="251" spans="1:51" ht="15.75" customHeight="1" x14ac:dyDescent="0.45">
      <c r="A251" s="1"/>
      <c r="B251" s="1"/>
      <c r="C251" s="128" t="s">
        <v>72</v>
      </c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"/>
      <c r="AV251" s="1"/>
      <c r="AW251" s="1"/>
      <c r="AX251" s="1"/>
      <c r="AY251" s="1"/>
    </row>
    <row r="252" spans="1:51" ht="15.75" customHeight="1" x14ac:dyDescent="0.45">
      <c r="A252" s="1"/>
      <c r="B252" s="1"/>
      <c r="C252" s="128" t="s">
        <v>68</v>
      </c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"/>
      <c r="AV252" s="1"/>
      <c r="AW252" s="1"/>
      <c r="AX252" s="1"/>
      <c r="AY252" s="1"/>
    </row>
    <row r="253" spans="1:51" ht="15.75" customHeight="1" x14ac:dyDescent="0.45">
      <c r="A253" s="1"/>
      <c r="B253" s="1"/>
      <c r="C253" s="128" t="s">
        <v>69</v>
      </c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"/>
      <c r="AV253" s="1"/>
      <c r="AW253" s="1"/>
      <c r="AX253" s="1"/>
      <c r="AY253" s="1"/>
    </row>
    <row r="254" spans="1:51" ht="15.75" customHeight="1" x14ac:dyDescent="0.45">
      <c r="A254" s="1"/>
      <c r="B254" s="1"/>
      <c r="C254" s="128" t="s">
        <v>73</v>
      </c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"/>
      <c r="AV254" s="1"/>
      <c r="AW254" s="1"/>
      <c r="AX254" s="1"/>
      <c r="AY254" s="1"/>
    </row>
    <row r="255" spans="1:51" ht="15.75" customHeight="1" x14ac:dyDescent="0.45">
      <c r="A255" s="1"/>
      <c r="B255" s="1"/>
      <c r="C255" s="128" t="s">
        <v>74</v>
      </c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"/>
      <c r="AV255" s="1"/>
      <c r="AW255" s="1"/>
      <c r="AX255" s="1"/>
      <c r="AY255" s="1"/>
    </row>
    <row r="256" spans="1:51" ht="15.75" customHeight="1" x14ac:dyDescent="0.45">
      <c r="A256" s="1"/>
      <c r="B256" s="1"/>
      <c r="C256" s="128" t="s">
        <v>75</v>
      </c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"/>
      <c r="AV256" s="1"/>
      <c r="AW256" s="1"/>
      <c r="AX256" s="1"/>
      <c r="AY256" s="1"/>
    </row>
    <row r="257" spans="1:51" ht="15.75" customHeight="1" x14ac:dyDescent="0.45">
      <c r="A257" s="1"/>
      <c r="B257" s="1"/>
      <c r="C257" s="128" t="s">
        <v>70</v>
      </c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"/>
      <c r="AV257" s="1"/>
      <c r="AW257" s="1"/>
      <c r="AX257" s="1"/>
      <c r="AY257" s="1"/>
    </row>
    <row r="258" spans="1:51" ht="15.75" customHeight="1" x14ac:dyDescent="0.45">
      <c r="A258" s="1"/>
      <c r="B258" s="1"/>
      <c r="C258" s="128" t="s">
        <v>76</v>
      </c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"/>
      <c r="AV258" s="1"/>
      <c r="AW258" s="1"/>
      <c r="AX258" s="1"/>
      <c r="AY258" s="1"/>
    </row>
    <row r="259" spans="1:51" ht="15.75" customHeight="1" x14ac:dyDescent="0.45">
      <c r="A259" s="1"/>
      <c r="B259" s="1"/>
      <c r="C259" s="128" t="s">
        <v>77</v>
      </c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"/>
      <c r="AV259" s="1"/>
      <c r="AW259" s="1"/>
      <c r="AX259" s="1"/>
      <c r="AY259" s="1"/>
    </row>
    <row r="260" spans="1:51" ht="15.75" customHeight="1" x14ac:dyDescent="0.45">
      <c r="A260" s="1"/>
      <c r="B260" s="1"/>
      <c r="C260" s="128" t="s">
        <v>78</v>
      </c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"/>
      <c r="AV260" s="1"/>
      <c r="AW260" s="1"/>
      <c r="AX260" s="1"/>
      <c r="AY260" s="1"/>
    </row>
    <row r="261" spans="1:51" ht="15.75" customHeight="1" x14ac:dyDescent="0.45">
      <c r="A261" s="1"/>
      <c r="B261" s="1"/>
      <c r="C261" s="128" t="s">
        <v>79</v>
      </c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"/>
      <c r="AV261" s="1"/>
      <c r="AW261" s="1"/>
      <c r="AX261" s="1"/>
      <c r="AY261" s="1"/>
    </row>
    <row r="262" spans="1:51" ht="15.75" customHeight="1" x14ac:dyDescent="0.45">
      <c r="A262" s="1"/>
      <c r="B262" s="1"/>
      <c r="C262" s="128" t="s">
        <v>80</v>
      </c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"/>
      <c r="AV262" s="1"/>
      <c r="AW262" s="1"/>
      <c r="AX262" s="1"/>
      <c r="AY262" s="1"/>
    </row>
    <row r="263" spans="1:51" ht="15.75" customHeight="1" x14ac:dyDescent="0.45">
      <c r="A263" s="1"/>
      <c r="B263" s="1"/>
      <c r="C263" s="128" t="s">
        <v>81</v>
      </c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"/>
      <c r="AV263" s="1"/>
      <c r="AW263" s="1"/>
      <c r="AX263" s="1"/>
      <c r="AY263" s="1"/>
    </row>
    <row r="264" spans="1:51" ht="23.25" customHeight="1" x14ac:dyDescent="0.45">
      <c r="A264" s="1"/>
      <c r="B264" s="1"/>
      <c r="C264" s="128" t="s">
        <v>82</v>
      </c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"/>
      <c r="AV264" s="1"/>
      <c r="AW264" s="1"/>
      <c r="AX264" s="1"/>
      <c r="AY264" s="1"/>
    </row>
    <row r="265" spans="1:51" ht="15.75" customHeight="1" x14ac:dyDescent="0.45">
      <c r="A265" s="1"/>
      <c r="B265" s="1"/>
      <c r="C265" s="128" t="s">
        <v>83</v>
      </c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"/>
      <c r="AV265" s="1"/>
      <c r="AW265" s="1"/>
      <c r="AX265" s="1"/>
      <c r="AY265" s="1"/>
    </row>
    <row r="266" spans="1:51" ht="15.75" customHeight="1" x14ac:dyDescent="0.45">
      <c r="A266" s="1"/>
      <c r="B266" s="1"/>
      <c r="C266" s="128" t="s">
        <v>84</v>
      </c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"/>
      <c r="AV266" s="1"/>
      <c r="AW266" s="1"/>
      <c r="AX266" s="1"/>
      <c r="AY266" s="1"/>
    </row>
    <row r="267" spans="1:51" ht="15.75" customHeight="1" x14ac:dyDescent="0.45">
      <c r="A267" s="1"/>
      <c r="B267" s="1"/>
      <c r="C267" s="128" t="s">
        <v>85</v>
      </c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"/>
      <c r="AV267" s="1"/>
      <c r="AW267" s="1"/>
      <c r="AX267" s="1"/>
      <c r="AY267" s="1"/>
    </row>
    <row r="268" spans="1:51" ht="15.75" customHeight="1" x14ac:dyDescent="0.45">
      <c r="A268" s="1"/>
      <c r="B268" s="1"/>
      <c r="C268" s="128" t="s">
        <v>86</v>
      </c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"/>
      <c r="AV268" s="1"/>
      <c r="AW268" s="1"/>
      <c r="AX268" s="1"/>
      <c r="AY268" s="1"/>
    </row>
    <row r="269" spans="1:51" ht="15.75" customHeight="1" x14ac:dyDescent="0.45">
      <c r="A269" s="1"/>
      <c r="B269" s="1"/>
      <c r="C269" s="128" t="s">
        <v>87</v>
      </c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"/>
      <c r="AV269" s="1"/>
      <c r="AW269" s="1"/>
      <c r="AX269" s="1"/>
      <c r="AY269" s="1"/>
    </row>
    <row r="270" spans="1:51" ht="15.75" customHeight="1" x14ac:dyDescent="0.45">
      <c r="A270" s="1"/>
      <c r="B270" s="1"/>
      <c r="C270" s="128" t="s">
        <v>88</v>
      </c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"/>
      <c r="AV270" s="1"/>
      <c r="AW270" s="1"/>
      <c r="AX270" s="1"/>
      <c r="AY270" s="1"/>
    </row>
    <row r="271" spans="1:51" ht="15.75" customHeight="1" x14ac:dyDescent="0.45">
      <c r="A271" s="1"/>
      <c r="B271" s="1"/>
      <c r="C271" s="128" t="s">
        <v>89</v>
      </c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"/>
      <c r="AV271" s="1"/>
      <c r="AW271" s="1"/>
      <c r="AX271" s="1"/>
      <c r="AY271" s="1"/>
    </row>
    <row r="272" spans="1:51" ht="15.75" customHeight="1" x14ac:dyDescent="0.45">
      <c r="A272" s="1"/>
      <c r="B272" s="1"/>
      <c r="C272" s="128" t="s">
        <v>90</v>
      </c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"/>
      <c r="AV272" s="1"/>
      <c r="AW272" s="1"/>
      <c r="AX272" s="1"/>
      <c r="AY272" s="1"/>
    </row>
    <row r="273" spans="1:51" ht="15.75" customHeight="1" x14ac:dyDescent="0.45">
      <c r="A273" s="1"/>
      <c r="B273" s="1"/>
      <c r="C273" s="128" t="s">
        <v>91</v>
      </c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"/>
      <c r="AV273" s="1"/>
      <c r="AW273" s="1"/>
      <c r="AX273" s="1"/>
      <c r="AY273" s="1"/>
    </row>
    <row r="274" spans="1:51" ht="15.75" customHeight="1" x14ac:dyDescent="0.45">
      <c r="A274" s="1"/>
      <c r="B274" s="1"/>
      <c r="C274" s="128" t="s">
        <v>92</v>
      </c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"/>
      <c r="AV274" s="1"/>
      <c r="AW274" s="1"/>
      <c r="AX274" s="1"/>
      <c r="AY274" s="1"/>
    </row>
    <row r="275" spans="1:51" ht="15.75" customHeight="1" x14ac:dyDescent="0.45">
      <c r="A275" s="1"/>
      <c r="B275" s="1"/>
      <c r="C275" s="128" t="s">
        <v>93</v>
      </c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"/>
      <c r="AV275" s="1"/>
      <c r="AW275" s="1"/>
      <c r="AX275" s="1"/>
      <c r="AY275" s="1"/>
    </row>
    <row r="276" spans="1:51" ht="15" customHeight="1" x14ac:dyDescent="0.45">
      <c r="A276" s="1"/>
      <c r="B276" s="1"/>
      <c r="C276" s="128" t="s">
        <v>94</v>
      </c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"/>
      <c r="AV276" s="1"/>
      <c r="AW276" s="1"/>
      <c r="AX276" s="1"/>
      <c r="AY276" s="1"/>
    </row>
    <row r="277" spans="1:51" ht="15.75" customHeight="1" x14ac:dyDescent="0.45">
      <c r="A277" s="1"/>
      <c r="B277" s="1"/>
      <c r="C277" s="128" t="s">
        <v>95</v>
      </c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"/>
      <c r="AV277" s="1"/>
      <c r="AW277" s="1"/>
      <c r="AX277" s="1"/>
      <c r="AY277" s="1"/>
    </row>
    <row r="278" spans="1:51" ht="15.75" customHeight="1" x14ac:dyDescent="0.45">
      <c r="A278" s="1"/>
      <c r="B278" s="1"/>
      <c r="C278" s="128" t="s">
        <v>96</v>
      </c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"/>
      <c r="AV278" s="1"/>
      <c r="AW278" s="1"/>
      <c r="AX278" s="1"/>
      <c r="AY278" s="1"/>
    </row>
    <row r="279" spans="1:51" ht="15.75" customHeight="1" x14ac:dyDescent="0.45">
      <c r="A279" s="1"/>
      <c r="B279" s="1"/>
      <c r="C279" s="128" t="s">
        <v>97</v>
      </c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"/>
      <c r="AV279" s="1"/>
      <c r="AW279" s="1"/>
      <c r="AX279" s="1"/>
      <c r="AY279" s="1"/>
    </row>
    <row r="280" spans="1:51" ht="15.75" customHeight="1" x14ac:dyDescent="0.45">
      <c r="A280" s="1"/>
      <c r="B280" s="1"/>
      <c r="C280" s="128" t="s">
        <v>98</v>
      </c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"/>
      <c r="AV280" s="1"/>
      <c r="AW280" s="1"/>
      <c r="AX280" s="1"/>
      <c r="AY280" s="1"/>
    </row>
    <row r="281" spans="1:51" ht="15.75" customHeight="1" x14ac:dyDescent="0.45">
      <c r="A281" s="1"/>
      <c r="B281" s="1"/>
      <c r="C281" s="128" t="s">
        <v>99</v>
      </c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"/>
      <c r="AV281" s="1"/>
      <c r="AW281" s="1"/>
      <c r="AX281" s="1"/>
      <c r="AY281" s="1"/>
    </row>
    <row r="282" spans="1:51" ht="15.75" customHeight="1" x14ac:dyDescent="0.45">
      <c r="A282" s="1"/>
      <c r="B282" s="1"/>
      <c r="C282" s="128" t="s">
        <v>100</v>
      </c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"/>
      <c r="AV282" s="1"/>
      <c r="AW282" s="1"/>
      <c r="AX282" s="1"/>
      <c r="AY282" s="1"/>
    </row>
    <row r="283" spans="1:51" ht="15.75" customHeight="1" x14ac:dyDescent="0.45">
      <c r="A283" s="1"/>
      <c r="B283" s="1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"/>
      <c r="AV283" s="1"/>
      <c r="AW283" s="1"/>
      <c r="AX283" s="1"/>
      <c r="AY283" s="1"/>
    </row>
    <row r="284" spans="1:51" ht="15.75" customHeight="1" x14ac:dyDescent="0.45">
      <c r="A284" s="1"/>
      <c r="B284" s="1"/>
      <c r="C284" s="128" t="s">
        <v>101</v>
      </c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"/>
      <c r="AV284" s="1"/>
      <c r="AW284" s="1"/>
      <c r="AX284" s="1"/>
      <c r="AY284" s="1"/>
    </row>
    <row r="285" spans="1:51" ht="15.75" customHeight="1" x14ac:dyDescent="0.45">
      <c r="A285" s="1"/>
      <c r="B285" s="1"/>
      <c r="C285" s="128" t="s">
        <v>81</v>
      </c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"/>
      <c r="AV285" s="1"/>
      <c r="AW285" s="1"/>
      <c r="AX285" s="1"/>
      <c r="AY285" s="1"/>
    </row>
    <row r="286" spans="1:51" ht="15.75" customHeight="1" x14ac:dyDescent="0.45">
      <c r="A286" s="1"/>
      <c r="B286" s="1"/>
      <c r="C286" s="128" t="s">
        <v>102</v>
      </c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"/>
      <c r="AV286" s="1"/>
      <c r="AW286" s="1"/>
      <c r="AX286" s="1"/>
      <c r="AY286" s="1"/>
    </row>
    <row r="287" spans="1:51" ht="15.75" customHeight="1" x14ac:dyDescent="0.45">
      <c r="A287" s="1"/>
      <c r="B287" s="1"/>
      <c r="C287" s="128" t="s">
        <v>103</v>
      </c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"/>
      <c r="AV287" s="1"/>
      <c r="AW287" s="1"/>
      <c r="AX287" s="1"/>
      <c r="AY287" s="1"/>
    </row>
    <row r="288" spans="1:51" ht="15.75" customHeight="1" x14ac:dyDescent="0.45">
      <c r="A288" s="1"/>
      <c r="B288" s="1"/>
      <c r="C288" s="128" t="s">
        <v>104</v>
      </c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"/>
      <c r="AV288" s="1"/>
      <c r="AW288" s="1"/>
      <c r="AX288" s="1"/>
      <c r="AY288" s="1"/>
    </row>
    <row r="289" spans="1:51" ht="15.75" customHeight="1" x14ac:dyDescent="0.45">
      <c r="A289" s="1"/>
      <c r="B289" s="1"/>
      <c r="C289" s="128" t="s">
        <v>105</v>
      </c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"/>
      <c r="AV289" s="1"/>
      <c r="AW289" s="1"/>
      <c r="AX289" s="1"/>
      <c r="AY289" s="1"/>
    </row>
    <row r="290" spans="1:51" ht="15.75" customHeight="1" x14ac:dyDescent="0.45">
      <c r="A290" s="1"/>
      <c r="B290" s="1"/>
      <c r="C290" s="128" t="s">
        <v>106</v>
      </c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"/>
      <c r="AV290" s="1"/>
      <c r="AW290" s="1"/>
      <c r="AX290" s="1"/>
      <c r="AY290" s="1"/>
    </row>
    <row r="291" spans="1:51" ht="15.75" customHeight="1" x14ac:dyDescent="0.45">
      <c r="A291" s="1"/>
      <c r="B291" s="1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"/>
      <c r="AV291" s="1"/>
      <c r="AW291" s="1"/>
      <c r="AX291" s="1"/>
      <c r="AY291" s="1"/>
    </row>
    <row r="292" spans="1:51" ht="15.75" customHeight="1" x14ac:dyDescent="0.45">
      <c r="A292" s="1"/>
      <c r="B292" s="1"/>
      <c r="C292" s="128" t="s">
        <v>107</v>
      </c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"/>
      <c r="AV292" s="1"/>
      <c r="AW292" s="1"/>
      <c r="AX292" s="1"/>
      <c r="AY292" s="1"/>
    </row>
    <row r="293" spans="1:51" ht="15.75" customHeight="1" x14ac:dyDescent="0.45">
      <c r="A293" s="1"/>
      <c r="B293" s="1"/>
      <c r="C293" s="128" t="s">
        <v>108</v>
      </c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"/>
      <c r="AV293" s="1"/>
      <c r="AW293" s="1"/>
      <c r="AX293" s="1"/>
      <c r="AY293" s="1"/>
    </row>
    <row r="294" spans="1:51" ht="15.75" customHeight="1" x14ac:dyDescent="0.45">
      <c r="A294" s="1"/>
      <c r="B294" s="1"/>
      <c r="C294" s="128" t="s">
        <v>109</v>
      </c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"/>
      <c r="AV294" s="1"/>
      <c r="AW294" s="1"/>
      <c r="AX294" s="1"/>
      <c r="AY294" s="1"/>
    </row>
    <row r="295" spans="1:51" ht="15.75" customHeight="1" x14ac:dyDescent="0.45">
      <c r="A295" s="1"/>
      <c r="B295" s="1"/>
      <c r="C295" s="128" t="s">
        <v>110</v>
      </c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"/>
      <c r="AV295" s="1"/>
      <c r="AW295" s="1"/>
      <c r="AX295" s="1"/>
      <c r="AY295" s="1"/>
    </row>
    <row r="296" spans="1:51" ht="15.75" customHeight="1" x14ac:dyDescent="0.45">
      <c r="A296" s="1"/>
      <c r="B296" s="1"/>
      <c r="C296" s="128" t="s">
        <v>111</v>
      </c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"/>
      <c r="AV296" s="1"/>
      <c r="AW296" s="1"/>
      <c r="AX296" s="1"/>
      <c r="AY296" s="1"/>
    </row>
    <row r="297" spans="1:51" ht="15.75" customHeight="1" x14ac:dyDescent="0.45">
      <c r="A297" s="1"/>
      <c r="B297" s="1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"/>
      <c r="AV297" s="1"/>
      <c r="AW297" s="1"/>
      <c r="AX297" s="1"/>
      <c r="AY297" s="1"/>
    </row>
    <row r="298" spans="1:51" ht="15.75" customHeight="1" x14ac:dyDescent="0.45">
      <c r="A298" s="1"/>
      <c r="B298" s="1"/>
      <c r="C298" s="128" t="s">
        <v>107</v>
      </c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"/>
      <c r="AV298" s="1"/>
      <c r="AW298" s="1"/>
      <c r="AX298" s="1"/>
      <c r="AY298" s="1"/>
    </row>
    <row r="299" spans="1:51" ht="15.75" customHeight="1" x14ac:dyDescent="0.45">
      <c r="A299" s="1"/>
      <c r="B299" s="1"/>
      <c r="C299" s="128" t="s">
        <v>112</v>
      </c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"/>
      <c r="AV299" s="1"/>
      <c r="AW299" s="1"/>
      <c r="AX299" s="1"/>
      <c r="AY299" s="1"/>
    </row>
    <row r="300" spans="1:51" ht="15.75" customHeight="1" x14ac:dyDescent="0.45">
      <c r="A300" s="1"/>
      <c r="B300" s="1"/>
      <c r="C300" s="128" t="s">
        <v>113</v>
      </c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"/>
      <c r="AV300" s="1"/>
      <c r="AW300" s="1"/>
      <c r="AX300" s="1"/>
      <c r="AY300" s="1"/>
    </row>
    <row r="301" spans="1:51" ht="15.75" customHeight="1" x14ac:dyDescent="0.45">
      <c r="A301" s="1"/>
      <c r="B301" s="1"/>
      <c r="C301" s="128" t="s">
        <v>114</v>
      </c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"/>
      <c r="AV301" s="1"/>
      <c r="AW301" s="1"/>
      <c r="AX301" s="1"/>
      <c r="AY301" s="1"/>
    </row>
    <row r="302" spans="1:51" ht="15.75" customHeight="1" x14ac:dyDescent="0.45">
      <c r="A302" s="1"/>
      <c r="B302" s="1"/>
      <c r="C302" s="128" t="s">
        <v>115</v>
      </c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"/>
      <c r="AV302" s="1"/>
      <c r="AW302" s="1"/>
      <c r="AX302" s="1"/>
      <c r="AY302" s="1"/>
    </row>
    <row r="303" spans="1:51" ht="15.75" customHeight="1" x14ac:dyDescent="0.45">
      <c r="A303" s="1"/>
      <c r="B303" s="1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"/>
      <c r="AV303" s="1"/>
      <c r="AW303" s="1"/>
      <c r="AX303" s="1"/>
      <c r="AY303" s="1"/>
    </row>
    <row r="304" spans="1:51" ht="15.7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ht="15.7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ht="15.75" customHeight="1" x14ac:dyDescent="0.45"/>
    <row r="307" spans="1:51" ht="15.75" customHeight="1" x14ac:dyDescent="0.45"/>
    <row r="308" spans="1:51" ht="15.75" customHeight="1" x14ac:dyDescent="0.45"/>
    <row r="309" spans="1:51" ht="15.75" customHeight="1" x14ac:dyDescent="0.45"/>
    <row r="310" spans="1:51" ht="15.75" customHeight="1" x14ac:dyDescent="0.45"/>
    <row r="311" spans="1:51" ht="15.75" customHeight="1" x14ac:dyDescent="0.45"/>
    <row r="312" spans="1:51" ht="15.75" customHeight="1" x14ac:dyDescent="0.45"/>
    <row r="313" spans="1:51" ht="15.75" customHeight="1" x14ac:dyDescent="0.45"/>
    <row r="314" spans="1:51" ht="15.75" customHeight="1" x14ac:dyDescent="0.45"/>
    <row r="315" spans="1:51" ht="15.75" customHeight="1" x14ac:dyDescent="0.45"/>
    <row r="316" spans="1:51" ht="15.75" customHeight="1" x14ac:dyDescent="0.45"/>
    <row r="317" spans="1:51" ht="15.75" customHeight="1" x14ac:dyDescent="0.45"/>
    <row r="318" spans="1:51" ht="15.75" customHeight="1" x14ac:dyDescent="0.45"/>
    <row r="319" spans="1:51" ht="15.75" customHeight="1" x14ac:dyDescent="0.45"/>
    <row r="320" spans="1:51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</sheetData>
  <mergeCells count="306">
    <mergeCell ref="C6:AT6"/>
    <mergeCell ref="C7:AT7"/>
    <mergeCell ref="C8:AT8"/>
    <mergeCell ref="C9:AT9"/>
    <mergeCell ref="C10:AT10"/>
    <mergeCell ref="Z1:AJ3"/>
    <mergeCell ref="AK1:AT3"/>
    <mergeCell ref="O3:U3"/>
    <mergeCell ref="A1:C3"/>
    <mergeCell ref="D1:J3"/>
    <mergeCell ref="K1:N3"/>
    <mergeCell ref="O1:U2"/>
    <mergeCell ref="V1:Y3"/>
    <mergeCell ref="C16:AT16"/>
    <mergeCell ref="C17:AT17"/>
    <mergeCell ref="C18:AT18"/>
    <mergeCell ref="C19:AT19"/>
    <mergeCell ref="C20:AT20"/>
    <mergeCell ref="C11:AT11"/>
    <mergeCell ref="C12:AT12"/>
    <mergeCell ref="C13:AT13"/>
    <mergeCell ref="C14:AT14"/>
    <mergeCell ref="C15:AT15"/>
    <mergeCell ref="D26:AU26"/>
    <mergeCell ref="D27:AU27"/>
    <mergeCell ref="D28:AU28"/>
    <mergeCell ref="D29:AU29"/>
    <mergeCell ref="D30:AU30"/>
    <mergeCell ref="D21:AU21"/>
    <mergeCell ref="D22:AU22"/>
    <mergeCell ref="D23:AU23"/>
    <mergeCell ref="D24:AU24"/>
    <mergeCell ref="D25:AU25"/>
    <mergeCell ref="D36:AU36"/>
    <mergeCell ref="D37:AU37"/>
    <mergeCell ref="D38:AU38"/>
    <mergeCell ref="D39:AU39"/>
    <mergeCell ref="D40:AU40"/>
    <mergeCell ref="D31:AU31"/>
    <mergeCell ref="D32:AU32"/>
    <mergeCell ref="D33:AU33"/>
    <mergeCell ref="D34:AU34"/>
    <mergeCell ref="D35:AU35"/>
    <mergeCell ref="C46:AT46"/>
    <mergeCell ref="C47:AT47"/>
    <mergeCell ref="D48:AU48"/>
    <mergeCell ref="D49:AU49"/>
    <mergeCell ref="D50:AU50"/>
    <mergeCell ref="D41:AU41"/>
    <mergeCell ref="D42:AU42"/>
    <mergeCell ref="D43:AU43"/>
    <mergeCell ref="D44:AU44"/>
    <mergeCell ref="D45:AU45"/>
    <mergeCell ref="D56:AU56"/>
    <mergeCell ref="D57:AU57"/>
    <mergeCell ref="D58:AU58"/>
    <mergeCell ref="D59:AU59"/>
    <mergeCell ref="D60:AU60"/>
    <mergeCell ref="D51:AU51"/>
    <mergeCell ref="D52:AU52"/>
    <mergeCell ref="D53:AU53"/>
    <mergeCell ref="D54:AU54"/>
    <mergeCell ref="D55:AU55"/>
    <mergeCell ref="D66:AU66"/>
    <mergeCell ref="D67:AU67"/>
    <mergeCell ref="D68:AU68"/>
    <mergeCell ref="D69:AU69"/>
    <mergeCell ref="D70:AU70"/>
    <mergeCell ref="D61:AU61"/>
    <mergeCell ref="D62:AU62"/>
    <mergeCell ref="D63:AU63"/>
    <mergeCell ref="D64:AU64"/>
    <mergeCell ref="D65:AU65"/>
    <mergeCell ref="D76:AU76"/>
    <mergeCell ref="D77:AU77"/>
    <mergeCell ref="D78:AU78"/>
    <mergeCell ref="D79:AU79"/>
    <mergeCell ref="D80:AU80"/>
    <mergeCell ref="D71:AU71"/>
    <mergeCell ref="D72:AU72"/>
    <mergeCell ref="D73:AU73"/>
    <mergeCell ref="D74:AU74"/>
    <mergeCell ref="C75:AT75"/>
    <mergeCell ref="C86:AT86"/>
    <mergeCell ref="C87:AT87"/>
    <mergeCell ref="D88:AU88"/>
    <mergeCell ref="D89:AU89"/>
    <mergeCell ref="D90:AU90"/>
    <mergeCell ref="D81:AU81"/>
    <mergeCell ref="D82:AU82"/>
    <mergeCell ref="D83:AU83"/>
    <mergeCell ref="D84:AU84"/>
    <mergeCell ref="D85:AU85"/>
    <mergeCell ref="D96:AU96"/>
    <mergeCell ref="C97:AT97"/>
    <mergeCell ref="C98:AT98"/>
    <mergeCell ref="C99:AT99"/>
    <mergeCell ref="C100:AT100"/>
    <mergeCell ref="D91:AU91"/>
    <mergeCell ref="D92:AU92"/>
    <mergeCell ref="D93:AU93"/>
    <mergeCell ref="D94:AU94"/>
    <mergeCell ref="D95:AU95"/>
    <mergeCell ref="C106:AT106"/>
    <mergeCell ref="C107:AT107"/>
    <mergeCell ref="C108:AT108"/>
    <mergeCell ref="C109:AT109"/>
    <mergeCell ref="C110:AT110"/>
    <mergeCell ref="C101:AT101"/>
    <mergeCell ref="C102:AT102"/>
    <mergeCell ref="C103:AT103"/>
    <mergeCell ref="C104:AT104"/>
    <mergeCell ref="C105:AT105"/>
    <mergeCell ref="C116:AT116"/>
    <mergeCell ref="C117:AT117"/>
    <mergeCell ref="C118:AT118"/>
    <mergeCell ref="C119:AT119"/>
    <mergeCell ref="C120:AT120"/>
    <mergeCell ref="C111:AT111"/>
    <mergeCell ref="C112:AT112"/>
    <mergeCell ref="C113:AT113"/>
    <mergeCell ref="C114:AT114"/>
    <mergeCell ref="C115:AT115"/>
    <mergeCell ref="C126:AT126"/>
    <mergeCell ref="C127:AT127"/>
    <mergeCell ref="C128:AT128"/>
    <mergeCell ref="C129:AT129"/>
    <mergeCell ref="C130:AT130"/>
    <mergeCell ref="C121:AT121"/>
    <mergeCell ref="C122:AT122"/>
    <mergeCell ref="C123:AT123"/>
    <mergeCell ref="C124:AT124"/>
    <mergeCell ref="C125:AT125"/>
    <mergeCell ref="C136:AT136"/>
    <mergeCell ref="C137:AT137"/>
    <mergeCell ref="C138:AT138"/>
    <mergeCell ref="C139:AT139"/>
    <mergeCell ref="C140:AT140"/>
    <mergeCell ref="C131:AT131"/>
    <mergeCell ref="C132:AT132"/>
    <mergeCell ref="C133:AT133"/>
    <mergeCell ref="C134:AT134"/>
    <mergeCell ref="C135:AT135"/>
    <mergeCell ref="C146:AT146"/>
    <mergeCell ref="C147:AT147"/>
    <mergeCell ref="C148:AT148"/>
    <mergeCell ref="C149:AT149"/>
    <mergeCell ref="C150:AT150"/>
    <mergeCell ref="C141:AT141"/>
    <mergeCell ref="C142:AT142"/>
    <mergeCell ref="C143:AT143"/>
    <mergeCell ref="C144:AT144"/>
    <mergeCell ref="C145:AT145"/>
    <mergeCell ref="C156:AT156"/>
    <mergeCell ref="C157:AT157"/>
    <mergeCell ref="C158:AT158"/>
    <mergeCell ref="C159:AT159"/>
    <mergeCell ref="C160:AT160"/>
    <mergeCell ref="C151:AT151"/>
    <mergeCell ref="C152:AT152"/>
    <mergeCell ref="C153:AT153"/>
    <mergeCell ref="C154:AT154"/>
    <mergeCell ref="C155:AT155"/>
    <mergeCell ref="C166:AT166"/>
    <mergeCell ref="C167:AT167"/>
    <mergeCell ref="C168:AT168"/>
    <mergeCell ref="C169:AT169"/>
    <mergeCell ref="C170:AT170"/>
    <mergeCell ref="C161:AT161"/>
    <mergeCell ref="C162:AT162"/>
    <mergeCell ref="C163:AT163"/>
    <mergeCell ref="C164:AT164"/>
    <mergeCell ref="C165:AT165"/>
    <mergeCell ref="C176:AT176"/>
    <mergeCell ref="C177:AT177"/>
    <mergeCell ref="C178:AT178"/>
    <mergeCell ref="C179:AT179"/>
    <mergeCell ref="C180:AT180"/>
    <mergeCell ref="C171:AT171"/>
    <mergeCell ref="C172:AT172"/>
    <mergeCell ref="C173:AT173"/>
    <mergeCell ref="C174:AT174"/>
    <mergeCell ref="C175:AT175"/>
    <mergeCell ref="C186:AT186"/>
    <mergeCell ref="C187:AT187"/>
    <mergeCell ref="C188:AT188"/>
    <mergeCell ref="C189:AT189"/>
    <mergeCell ref="C190:AT190"/>
    <mergeCell ref="C181:AT181"/>
    <mergeCell ref="C182:AT182"/>
    <mergeCell ref="C183:AT183"/>
    <mergeCell ref="C184:AT184"/>
    <mergeCell ref="C185:AT185"/>
    <mergeCell ref="C196:AT196"/>
    <mergeCell ref="C197:AT197"/>
    <mergeCell ref="C198:AT198"/>
    <mergeCell ref="C199:AT199"/>
    <mergeCell ref="C200:AT200"/>
    <mergeCell ref="C191:AT191"/>
    <mergeCell ref="C192:AT192"/>
    <mergeCell ref="C193:AT193"/>
    <mergeCell ref="C194:AT194"/>
    <mergeCell ref="C195:AT195"/>
    <mergeCell ref="C206:AT206"/>
    <mergeCell ref="C207:AT207"/>
    <mergeCell ref="C208:AT208"/>
    <mergeCell ref="C209:AT209"/>
    <mergeCell ref="C210:AT210"/>
    <mergeCell ref="C201:AT201"/>
    <mergeCell ref="C202:AT202"/>
    <mergeCell ref="C203:AT203"/>
    <mergeCell ref="C204:AT204"/>
    <mergeCell ref="C205:AT205"/>
    <mergeCell ref="C216:AT216"/>
    <mergeCell ref="C217:AT217"/>
    <mergeCell ref="C218:AT218"/>
    <mergeCell ref="C219:AT219"/>
    <mergeCell ref="C220:AT220"/>
    <mergeCell ref="C211:AT211"/>
    <mergeCell ref="C212:AT212"/>
    <mergeCell ref="C213:AT213"/>
    <mergeCell ref="C214:AT214"/>
    <mergeCell ref="C215:AT215"/>
    <mergeCell ref="C226:AT226"/>
    <mergeCell ref="C227:AT227"/>
    <mergeCell ref="C228:AT228"/>
    <mergeCell ref="C229:AT229"/>
    <mergeCell ref="C230:AT230"/>
    <mergeCell ref="C221:AT221"/>
    <mergeCell ref="C222:AT222"/>
    <mergeCell ref="C223:AT223"/>
    <mergeCell ref="C224:AT224"/>
    <mergeCell ref="C225:AT225"/>
    <mergeCell ref="C236:AT236"/>
    <mergeCell ref="C237:AT237"/>
    <mergeCell ref="C238:AT238"/>
    <mergeCell ref="C239:AT239"/>
    <mergeCell ref="C240:AT240"/>
    <mergeCell ref="C231:AT231"/>
    <mergeCell ref="C232:AT232"/>
    <mergeCell ref="C233:AT233"/>
    <mergeCell ref="C234:AT234"/>
    <mergeCell ref="C235:AT235"/>
    <mergeCell ref="C246:AT246"/>
    <mergeCell ref="C247:AT247"/>
    <mergeCell ref="C248:AT248"/>
    <mergeCell ref="C249:AT249"/>
    <mergeCell ref="C250:AT250"/>
    <mergeCell ref="C241:AT241"/>
    <mergeCell ref="C242:AT242"/>
    <mergeCell ref="C243:AT243"/>
    <mergeCell ref="C244:AT244"/>
    <mergeCell ref="C245:AT245"/>
    <mergeCell ref="C256:AT256"/>
    <mergeCell ref="C257:AT257"/>
    <mergeCell ref="C258:AT258"/>
    <mergeCell ref="C259:AT259"/>
    <mergeCell ref="C260:AT260"/>
    <mergeCell ref="C251:AT251"/>
    <mergeCell ref="C252:AT252"/>
    <mergeCell ref="C253:AT253"/>
    <mergeCell ref="C254:AT254"/>
    <mergeCell ref="C255:AT255"/>
    <mergeCell ref="C266:AT266"/>
    <mergeCell ref="C267:AT267"/>
    <mergeCell ref="C268:AT268"/>
    <mergeCell ref="C269:AT269"/>
    <mergeCell ref="C270:AT270"/>
    <mergeCell ref="C261:AT261"/>
    <mergeCell ref="C262:AT262"/>
    <mergeCell ref="C263:AT263"/>
    <mergeCell ref="C264:AT264"/>
    <mergeCell ref="C265:AT265"/>
    <mergeCell ref="C276:AT276"/>
    <mergeCell ref="C277:AT277"/>
    <mergeCell ref="C278:AT278"/>
    <mergeCell ref="C279:AT279"/>
    <mergeCell ref="C280:AT280"/>
    <mergeCell ref="C271:AT271"/>
    <mergeCell ref="C272:AT272"/>
    <mergeCell ref="C273:AT273"/>
    <mergeCell ref="C274:AT274"/>
    <mergeCell ref="C275:AT275"/>
    <mergeCell ref="C286:AT286"/>
    <mergeCell ref="C287:AT287"/>
    <mergeCell ref="C288:AT288"/>
    <mergeCell ref="C289:AT289"/>
    <mergeCell ref="C290:AT290"/>
    <mergeCell ref="C281:AT281"/>
    <mergeCell ref="C282:AT282"/>
    <mergeCell ref="C283:AT283"/>
    <mergeCell ref="C284:AT284"/>
    <mergeCell ref="C285:AT285"/>
    <mergeCell ref="C301:AT301"/>
    <mergeCell ref="C302:AT302"/>
    <mergeCell ref="C303:AT303"/>
    <mergeCell ref="C296:AT296"/>
    <mergeCell ref="C297:AT297"/>
    <mergeCell ref="C298:AT298"/>
    <mergeCell ref="C299:AT299"/>
    <mergeCell ref="C300:AT300"/>
    <mergeCell ref="C291:AT291"/>
    <mergeCell ref="C292:AT292"/>
    <mergeCell ref="C293:AT293"/>
    <mergeCell ref="C294:AT294"/>
    <mergeCell ref="C295:AT2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01.Cover</vt:lpstr>
      <vt:lpstr>02.Revision_History</vt:lpstr>
      <vt:lpstr>TS.Content</vt:lpstr>
      <vt:lpstr>TS.Overview</vt:lpstr>
      <vt:lpstr>TS.Technical Details</vt:lpstr>
      <vt:lpstr>TS.Screen Layout</vt:lpstr>
      <vt:lpstr>TS.Processing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văn đạt</cp:lastModifiedBy>
  <dcterms:modified xsi:type="dcterms:W3CDTF">2026-04-29T02:59:09Z</dcterms:modified>
</cp:coreProperties>
</file>