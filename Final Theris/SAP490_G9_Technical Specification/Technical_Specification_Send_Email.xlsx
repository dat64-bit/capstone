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vdat2\Downloads\"/>
    </mc:Choice>
  </mc:AlternateContent>
  <xr:revisionPtr revIDLastSave="0" documentId="11_1461B491BE5A9906DB3557C86193E10911DFCBE1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01.Cover" sheetId="1" r:id="rId1"/>
    <sheet name="02.Revision_History" sheetId="2" r:id="rId2"/>
    <sheet name="TS.Content" sheetId="3" r:id="rId3"/>
    <sheet name="TS.Overview" sheetId="4" r:id="rId4"/>
    <sheet name="TS.Technical Details" sheetId="5" r:id="rId5"/>
    <sheet name="TS.Screen Layout" sheetId="6" r:id="rId6"/>
    <sheet name="TS.Processing Log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7" l="1"/>
  <c r="Z1" i="7"/>
  <c r="O1" i="7"/>
  <c r="Z1" i="6"/>
  <c r="O1" i="6"/>
  <c r="D1" i="6"/>
  <c r="Z1" i="5"/>
  <c r="O1" i="5"/>
  <c r="D1" i="5"/>
  <c r="Z1" i="4"/>
  <c r="O1" i="4"/>
  <c r="D1" i="4"/>
  <c r="Z1" i="3"/>
  <c r="O1" i="3"/>
  <c r="D1" i="3"/>
  <c r="Z1" i="2"/>
  <c r="O1" i="2"/>
  <c r="D1" i="2"/>
  <c r="AK13" i="1"/>
  <c r="Z1" i="1"/>
  <c r="O1" i="1"/>
  <c r="D1" i="1"/>
</calcChain>
</file>

<file path=xl/sharedStrings.xml><?xml version="1.0" encoding="utf-8"?>
<sst xmlns="http://schemas.openxmlformats.org/spreadsheetml/2006/main" count="299" uniqueCount="257">
  <si>
    <t>Docs_ID</t>
  </si>
  <si>
    <t>Sheet name</t>
  </si>
  <si>
    <t>Document</t>
  </si>
  <si>
    <t>Technical Specification</t>
  </si>
  <si>
    <t>Document_ID</t>
  </si>
  <si>
    <t>TS_SEND_EMAIL</t>
  </si>
  <si>
    <t>Version no</t>
  </si>
  <si>
    <t>1.0</t>
  </si>
  <si>
    <t>Last updated date</t>
  </si>
  <si>
    <t>29/04/2026</t>
  </si>
  <si>
    <t>Title</t>
  </si>
  <si>
    <t>Name</t>
  </si>
  <si>
    <t>Code</t>
  </si>
  <si>
    <t>Date</t>
  </si>
  <si>
    <t>Creator</t>
  </si>
  <si>
    <t>DatNV</t>
  </si>
  <si>
    <t>HE171534</t>
  </si>
  <si>
    <t>Reviewer</t>
  </si>
  <si>
    <t xml:space="preserve">Approver </t>
  </si>
  <si>
    <t>No</t>
  </si>
  <si>
    <t xml:space="preserve">Changing </t>
  </si>
  <si>
    <t>2026-04-29</t>
  </si>
  <si>
    <t>Initial draft generated from user-provided code</t>
  </si>
  <si>
    <t>TS_ZFM_DEMO_SEND_EMAIL</t>
  </si>
  <si>
    <t>#</t>
  </si>
  <si>
    <t>Content</t>
  </si>
  <si>
    <t>Note</t>
  </si>
  <si>
    <t>1</t>
  </si>
  <si>
    <t>Overview</t>
  </si>
  <si>
    <t>Section overview</t>
  </si>
  <si>
    <t>2</t>
  </si>
  <si>
    <t>Technical Details</t>
  </si>
  <si>
    <t>Architecture, tables, interfaces</t>
  </si>
  <si>
    <t>3</t>
  </si>
  <si>
    <t>Screen Layout</t>
  </si>
  <si>
    <t>Background execution / N.A.</t>
  </si>
  <si>
    <t>4</t>
  </si>
  <si>
    <t>Processing Logic</t>
  </si>
  <si>
    <t>Detailed logic and pseudo flow</t>
  </si>
  <si>
    <t>I. Overview</t>
  </si>
  <si>
    <t>OBJECT OVERVIEW</t>
  </si>
  <si>
    <t>Object Name: ZFM_DEMO_SEND_EMAIL</t>
  </si>
  <si>
    <t>Technical Name</t>
  </si>
  <si>
    <t>ZFM_DEMO_SEND_EMAIL</t>
  </si>
  <si>
    <t>Description</t>
  </si>
  <si>
    <t>Send HTML email to customer via SendGrid based on Sales Order</t>
  </si>
  <si>
    <t>Development Package</t>
  </si>
  <si>
    <t>ZPK_SAP490_G9_SP26</t>
  </si>
  <si>
    <t>Message Class</t>
  </si>
  <si>
    <t>N/A</t>
  </si>
  <si>
    <t>Program Type</t>
  </si>
  <si>
    <t>Function Module</t>
  </si>
  <si>
    <t>Development Type (F/R/I/C/E)</t>
  </si>
  <si>
    <t>C</t>
  </si>
  <si>
    <t>Processes / SAP Module</t>
  </si>
  <si>
    <t>SD / Cross-Application Integration</t>
  </si>
  <si>
    <t>SAP System / Release</t>
  </si>
  <si>
    <t>ABAP Application Server</t>
  </si>
  <si>
    <t>Priority (High/Medium/Low)</t>
  </si>
  <si>
    <t>Medium</t>
  </si>
  <si>
    <t>Complexity (Simple/Medium/Complex/Very complex)</t>
  </si>
  <si>
    <t>2      Technical Details</t>
  </si>
  <si>
    <t>2.1 Program Structure</t>
  </si>
  <si>
    <t>Custom Function Module `ZFM_DEMO_SEND_EMAIL` used for outbound HTML email integration.</t>
  </si>
  <si>
    <t>Input parameters: `IV_ORDER_ID` (optional Sales Order) and `IV_CONTENT` (HTML body).</t>
  </si>
  <si>
    <t>Reads Sales Order header from `VBAK` to determine customer number (`KUNNR`).</t>
  </si>
  <si>
    <t>Reads customer address number from `KNA1`, then email address from `ADR6`.</t>
  </si>
  <si>
    <t>Escapes HTML content for JSON safety using `escape( ... e_json_string )`.</t>
  </si>
  <si>
    <t>Builds JSON payload required by SendGrid Mail Send API (`/v3/mail/send`).</t>
  </si>
  <si>
    <t>Creates HTTP client by URL using `CL_HTTP_CLIENT=&gt;CREATE_BY_URL`.</t>
  </si>
  <si>
    <t>Sets HTTP method to POST and headers `Authorization` and `Content-Type`.</t>
  </si>
  <si>
    <t>Sends request, receives response, reads HTTP status code and response body.</t>
  </si>
  <si>
    <t>Current implementation writes technical messages and returns without raising an exception.</t>
  </si>
  <si>
    <t>2.2 Key Components</t>
  </si>
  <si>
    <t>Constants: `GC_URL`, `GC_API_KEY`, `GC_FROM`, `GC_SUBJECT`.</t>
  </si>
  <si>
    <t>Main variables: `LS_VBAK`, `LV_EMAIL`, `LV_ADRNR`, `LO_HTTP_CLIENT`, `LV_PAYLOAD`, `LV_RESPONSE`, `LV_STATUS`.</t>
  </si>
  <si>
    <t>Database tables: `VBAK`, `KNA1`, `ADR6`.</t>
  </si>
  <si>
    <t>ABAP classes/interfaces: `CL_HTTP_CLIENT`, `IF_HTTP_CLIENT`, `IF_HTTP_REQUEST`, `CL_ABAP_FORMAT`.</t>
  </si>
  <si>
    <t>External interface: SendGrid REST API `https://api.sendgrid.com/v3/mail/send`.</t>
  </si>
  <si>
    <t>2.3 Data Flow</t>
  </si>
  <si>
    <t>Step</t>
  </si>
  <si>
    <t>Details</t>
  </si>
  <si>
    <t>Input Validation</t>
  </si>
  <si>
    <t>Read Sales Order by `IV_ORDER_ID`; stop processing if order is not found or initial.</t>
  </si>
  <si>
    <t>Recipient Lookup</t>
  </si>
  <si>
    <t>Read customer address number from `KNA1` and recipient email from `ADR6`.</t>
  </si>
  <si>
    <t>Content Preparation</t>
  </si>
  <si>
    <t>Escape HTML body so it can be embedded safely into JSON payload.</t>
  </si>
  <si>
    <t>Payload Creation</t>
  </si>
  <si>
    <t>Build SendGrid JSON body with personalizations, from, subject, and HTML content.</t>
  </si>
  <si>
    <t>HTTP Initialization</t>
  </si>
  <si>
    <t>Create HTTP client for SendGrid URL and validate outbound HTTPS availability.</t>
  </si>
  <si>
    <t>Request Setup</t>
  </si>
  <si>
    <t>Set method POST, Authorization bearer token, Content-Type application/json, and request body.</t>
  </si>
  <si>
    <t>API Call</t>
  </si>
  <si>
    <t>Execute `SEND`, then `RECEIVE`, and capture status code and response text.</t>
  </si>
  <si>
    <t>2.4 Error Handling</t>
  </si>
  <si>
    <t>Type</t>
  </si>
  <si>
    <t>Master Data Not Found</t>
  </si>
  <si>
    <t>If Sales Order, address number, or email is missing, the FM exits through `CHECK` logic.</t>
  </si>
  <si>
    <t>HTTP Client Failure</t>
  </si>
  <si>
    <t>If `CREATE_BY_URL` fails, module writes an error message and returns.</t>
  </si>
  <si>
    <t>Send/Receive Failure</t>
  </si>
  <si>
    <t>If HTTP `SEND` or `RECEIVE` fails, module closes client and returns without exception.</t>
  </si>
  <si>
    <t>2.5 Security</t>
  </si>
  <si>
    <t>Aspect</t>
  </si>
  <si>
    <t>Credential Handling</t>
  </si>
  <si>
    <t>API key is hardcoded in the provided code. Productive design should move it to secure configuration or credential store.</t>
  </si>
  <si>
    <t>2.6. SAP Reference Tables</t>
  </si>
  <si>
    <t>- `VBAK`: Sales Document Header; key field `VBELN`; field used: `KUNNR`.</t>
  </si>
  <si>
    <t>- `KNA1`: Customer Master; field used: `ADRNR` for address lookup.</t>
  </si>
  <si>
    <t>- `ADR6`: Email addresses; field used: `SMTP_ADDR` as recipient email.</t>
  </si>
  <si>
    <t>- External API: SendGrid Mail Send REST endpoint.</t>
  </si>
  <si>
    <t>3     SCREEN LAYOUT</t>
  </si>
  <si>
    <t>No dedicated SAP GUI or Fiori screen. This object is a backend function module consumed by another ABAP program, class, workflow, or integration process.</t>
  </si>
  <si>
    <t>Input point: caller passes `IV_ORDER_ID` and `IV_CONTENT` (HTML body). Recipient email is derived from master data, not entered manually on a UI screen.</t>
  </si>
  <si>
    <t>Execution context: function performs database reads and an outbound HTTPS call to SendGrid. Monitoring is expected in caller logs or technical traces.</t>
  </si>
  <si>
    <t>Output: HTTP status code and response body are available internally (`LV_STATUS`, `LV_RESPONSE`) for logging or troubleshooting by the caller.</t>
  </si>
  <si>
    <t>Click save to save the quote.</t>
  </si>
  <si>
    <t>Display a message after successful saving.</t>
  </si>
  <si>
    <t>Notification in email</t>
  </si>
  <si>
    <t>4     PROCESSING LOGIC</t>
  </si>
  <si>
    <t>4.1 Email Dispatch Logic</t>
  </si>
  <si>
    <t>Purpose</t>
  </si>
  <si>
    <t>Send an HTML email to the customer related to a Sales Order using SendGrid REST API.</t>
  </si>
  <si>
    <t>Logic</t>
  </si>
  <si>
    <t>Input: `IV_ORDER_ID` and `IV_CONTENT`.</t>
  </si>
  <si>
    <t>Read Sales Order header (`VBAK`) by `VBELN = IV_ORDER_ID` and stop if not found.</t>
  </si>
  <si>
    <t>Read customer address number from `KNA1` using `KUNNR` from the Sales Order.</t>
  </si>
  <si>
    <t>Read recipient email from `ADR6` using the address number; continue only if an email exists.</t>
  </si>
  <si>
    <t>Escape HTML content for JSON string safety.</t>
  </si>
  <si>
    <t>Construct SendGrid payload with recipient email, sender email, fixed subject, and HTML body.</t>
  </si>
  <si>
    <t>Create HTTP client for SendGrid URL.</t>
  </si>
  <si>
    <t>Set method POST, Authorization header (`Bearer ...`), and Content-Type `application/json`.</t>
  </si>
  <si>
    <t>Attach request body and call `SEND`.</t>
  </si>
  <si>
    <t>Call `RECEIVE` and capture HTTP status code and response body.</t>
  </si>
  <si>
    <t>Close HTTP client.</t>
  </si>
  <si>
    <t>Error Handling</t>
  </si>
  <si>
    <t>If the Sales Order or master data lookup fails, the function exits without sending email.</t>
  </si>
  <si>
    <t>If HTTP client creation fails, output a technical message and stop processing.</t>
  </si>
  <si>
    <t>If HTTP send/receive fails, output a technical message, close client, and return.</t>
  </si>
  <si>
    <t>Non-success API responses are retained in `LV_STATUS` and `LV_RESPONSE` for analysis.</t>
  </si>
  <si>
    <t>Pseudo Flow</t>
  </si>
  <si>
    <t>1. SELECT SINGLE from `VBAK` by `IV_ORDER_ID`.</t>
  </si>
  <si>
    <t>2. CHECK Sales Order found.</t>
  </si>
  <si>
    <t>3. SELECT SINGLE `ADRNR` from `KNA1` by `KUNNR`.</t>
  </si>
  <si>
    <t>4. SELECT SINGLE `SMTP_ADDR` from `ADR6` by `ADDRNUMBER`.</t>
  </si>
  <si>
    <t>5. Escape `IV_CONTENT` for JSON payload.</t>
  </si>
  <si>
    <t>6. Build JSON payload for SendGrid Mail Send API.</t>
  </si>
  <si>
    <t>7. Create HTTP client and set POST method.</t>
  </si>
  <si>
    <t>8. Set Authorization and Content-Type headers.</t>
  </si>
  <si>
    <t>9. Send request and receive response.</t>
  </si>
  <si>
    <t>10. Read status/body and close client.</t>
  </si>
  <si>
    <t>Technical Notes</t>
  </si>
  <si>
    <t>- `IV_ORDER_ID` is optional in the interface but the current logic effectively requires a valid order.</t>
  </si>
  <si>
    <t>- Current implementation uses `WRITE` and `RETURN`; no exception class or export status is returned.</t>
  </si>
  <si>
    <t>- Hardcoded API key and sender email should be externalized in productive design.</t>
  </si>
  <si>
    <t>4.2. Data Validation</t>
  </si>
  <si>
    <t>To verify that the uploaded RFQ price data meets the requirements for creating valid RFQ price updates and ensure data integrity before saving to the database.</t>
  </si>
  <si>
    <t xml:space="preserve">System iterates through each entity in the update request, performing validation checks for RFQ status, vendor authorization, price data, and field formats. </t>
  </si>
  <si>
    <t>Errors are collected and reported before allowing save operations.</t>
  </si>
  <si>
    <t>METHOD get_instance_features.</t>
  </si>
  <si>
    <t xml:space="preserve">  READ ENTITIES OF zi_rfq_head IN LOCAL MODE</t>
  </si>
  <si>
    <t xml:space="preserve">    ENTITY Header</t>
  </si>
  <si>
    <t xml:space="preserve">      FIELDS ( StatusText )</t>
  </si>
  <si>
    <t xml:space="preserve">      WITH CORRESPONDING #( keys )</t>
  </si>
  <si>
    <t xml:space="preserve">    RESULT DATA(lt_headers).</t>
  </si>
  <si>
    <t xml:space="preserve">  LOOP AT lt_headers INTO DATA(ls_header).</t>
  </si>
  <si>
    <t xml:space="preserve">    DATA(lv_edit_allowed) = COND #( WHEN ls_header-StatusText = 'Closed'</t>
  </si>
  <si>
    <t xml:space="preserve">                                    THEN if_abap_behv=&gt;fc-o-disabled</t>
  </si>
  <si>
    <t xml:space="preserve">                                    ELSE if_abap_behv=&gt;fc-o-enabled ).</t>
  </si>
  <si>
    <t xml:space="preserve">    APPEND VALUE #(</t>
  </si>
  <si>
    <t xml:space="preserve">       %tky             = ls_header-%tky</t>
  </si>
  <si>
    <t xml:space="preserve">       %features-%update = lv_edit_allowed</t>
  </si>
  <si>
    <t xml:space="preserve">       %features-%delete = lv_edit_allowed</t>
  </si>
  <si>
    <t xml:space="preserve">     ) TO result.</t>
  </si>
  <si>
    <t xml:space="preserve">  ENDLOOP.</t>
  </si>
  <si>
    <t>ENDMETHOD.</t>
  </si>
  <si>
    <t>4.3. Data Processing</t>
  </si>
  <si>
    <t>To process validated RFQ price data, perform calculations, update draft tables, and prepare data for final save operation.</t>
  </si>
  <si>
    <t>Process validated data from buffer, group by RFQ Number, perform price calculations (NetPrice and TotalPriceItem), generate log entries with GUID, write to ZTB_PRICE_LOG table,</t>
  </si>
  <si>
    <t xml:space="preserve"> call function modules asynchronously to update SAP tables and send email, then clear buffer after processing.</t>
  </si>
  <si>
    <t>Input</t>
  </si>
  <si>
    <t>Validated data from buffer (lcl_buffer~mt_updated_services), RFQ Numbers (lcl_buffer~mt_updated_rfqs), current date and time.</t>
  </si>
  <si>
    <t>METHOD save.</t>
  </si>
  <si>
    <t xml:space="preserve">  DATA: lt_rfq_input TYPE ztt_rfq_price,</t>
  </si>
  <si>
    <t xml:space="preserve">        ls_rfq_input LIKE LINE OF lt_rfq_input.</t>
  </si>
  <si>
    <t xml:space="preserve">  DATA: lt_price_log TYPE STANDARD TABLE OF ztb_price_log,</t>
  </si>
  <si>
    <t xml:space="preserve">        ls_price_log TYPE ztb_price_log.</t>
  </si>
  <si>
    <t xml:space="preserve">  IF lcl_buffer=&gt;mt_updated_rfqs IS NOT INITIAL.</t>
  </si>
  <si>
    <t xml:space="preserve">    LOOP AT lcl_buffer=&gt;mt_updated_rfqs INTO DATA(ls_rfq_number).</t>
  </si>
  <si>
    <t xml:space="preserve">      CLEAR lt_rfq_input.</t>
  </si>
  <si>
    <t xml:space="preserve">      lt_rfq_input = CORRESPONDING #( lcl_buffer=&gt;mt_updated_services ).</t>
  </si>
  <si>
    <t xml:space="preserve">      CLEAR lt_price_log.</t>
  </si>
  <si>
    <t xml:space="preserve">      LOOP AT lt_rfq_input INTO ls_rfq_input</t>
  </si>
  <si>
    <t xml:space="preserve">           WHERE ebeln = ls_rfq_number-ebeln.</t>
  </si>
  <si>
    <t xml:space="preserve">        CLEAR ls_price_log.</t>
  </si>
  <si>
    <t xml:space="preserve">        TRY.</t>
  </si>
  <si>
    <t xml:space="preserve">            ls_price_log-guid = cl_system_uuid=&gt;create_uuid_x16_static( ).</t>
  </si>
  <si>
    <t xml:space="preserve">          CATCH cx_uuid_error.</t>
  </si>
  <si>
    <t xml:space="preserve">            CONTINUE.</t>
  </si>
  <si>
    <t xml:space="preserve">        ENDTRY.</t>
  </si>
  <si>
    <t xml:space="preserve">        ls_price_log-ebeln = ls_rfq_number-ebeln.</t>
  </si>
  <si>
    <t xml:space="preserve">        ls_price_log-ebelp = ls_rfq_input-ebelp.</t>
  </si>
  <si>
    <t xml:space="preserve">        ls_price_log-erdat = sy-datum.</t>
  </si>
  <si>
    <t xml:space="preserve">        ls_price_log-ernam = ls_rfq_number-ernam.</t>
  </si>
  <si>
    <t xml:space="preserve">        ls_price_log-ertim = sy-uzeit.</t>
  </si>
  <si>
    <t xml:space="preserve">        ls_price_log-issync = 'X'.</t>
  </si>
  <si>
    <t xml:space="preserve">        APPEND ls_price_log TO lt_price_log.</t>
  </si>
  <si>
    <t xml:space="preserve">      ENDLOOP.</t>
  </si>
  <si>
    <t xml:space="preserve">      IF lt_price_log IS NOT INITIAL.</t>
  </si>
  <si>
    <t xml:space="preserve">        MODIFY ztb_price_log FROM TABLE lt_price_log.</t>
  </si>
  <si>
    <t xml:space="preserve">      ENDIF.</t>
  </si>
  <si>
    <t xml:space="preserve">      CALL FUNCTION 'ZFM_MAINTAIN_RFQ' STARTING NEW TASK 'RFQ_UPDATE'</t>
  </si>
  <si>
    <t xml:space="preserve">        EXPORTING</t>
  </si>
  <si>
    <t xml:space="preserve">          iv_rfq_number = ls_rfq_number-ebeln</t>
  </si>
  <si>
    <t xml:space="preserve">          it_data       = lt_rfq_input.</t>
  </si>
  <si>
    <t xml:space="preserve">      DATA(lv_vendor) = VALUE #( lt_rfq_input[ 1 ]-lifnr OPTIONAL ).</t>
  </si>
  <si>
    <t xml:space="preserve">      CALL FUNCTION 'ZFM_SENDMAIL_G1_RESP' STARTING NEW TASK 'MAIL_API_SEND'</t>
  </si>
  <si>
    <t xml:space="preserve">          iv_vendor     = lv_vendor</t>
  </si>
  <si>
    <t xml:space="preserve">          iv_ernam      = ls_rfq_number-ernam</t>
  </si>
  <si>
    <t xml:space="preserve">        TABLES</t>
  </si>
  <si>
    <t xml:space="preserve">    ENDLOOP.</t>
  </si>
  <si>
    <t xml:space="preserve">    </t>
  </si>
  <si>
    <t xml:space="preserve">    CLEAR lcl_buffer=&gt;mt_updated_rfqs.</t>
  </si>
  <si>
    <t xml:space="preserve">    CLEAR lcl_buffer=&gt;mt_updated_services.</t>
  </si>
  <si>
    <t xml:space="preserve">  ENDIF.</t>
  </si>
  <si>
    <t>4.4. Result Display</t>
  </si>
  <si>
    <t>To display the results of RFQ price updates to the user, including success messages, error notifications, and updated data in the Fiori UI.</t>
  </si>
  <si>
    <t xml:space="preserve">After save operation completes, system returns result to UI with success or error messages. UI automatically refreshes to show updated prices and recalculated NetPrice/TotalPriceItem. </t>
  </si>
  <si>
    <t>Status indicators (Days Remaining, Status Criticality) are updated. If RFQ is Closed, update/delete buttons are disabled. Success notification appears and email is sent asynchronously.</t>
  </si>
  <si>
    <t>Save operation result, updated entity data, status information from Header.</t>
  </si>
  <si>
    <t>Preprocessing</t>
  </si>
  <si>
    <t xml:space="preserve">Map save result to UI response structure with success/error messages and updated entity keys. Calculate Days Remaining, determine StatusText (Overdue/Open/Closed), </t>
  </si>
  <si>
    <t>and set StatusCriticality (1=Overdue, 2=Open, 3=Closed) based on deadline and status.</t>
  </si>
  <si>
    <t>Save failures return error messages to UI showing which records failed validation. Failed records remain in draft state. Display errors show error message allowing user to retry.</t>
  </si>
  <si>
    <t xml:space="preserve"> Status calculation errors use default values, setting status to 'Open' if calculation fails.</t>
  </si>
  <si>
    <t>METHOD read.</t>
  </si>
  <si>
    <t xml:space="preserve">  SELECT * FROM zi_rfq_head</t>
  </si>
  <si>
    <t xml:space="preserve">   FOR ALL ENTRIES IN @keys</t>
  </si>
  <si>
    <t xml:space="preserve">   WHERE RFQNumber = @keys-RFQNumber</t>
  </si>
  <si>
    <t xml:space="preserve">   INTO TABLE @DATA(lt_data).</t>
  </si>
  <si>
    <t xml:space="preserve">  result = CORRESPONDING #( lt_data ).</t>
  </si>
  <si>
    <t>case</t>
  </si>
  <si>
    <t xml:space="preserve">  when dats_days_between($session.system_date, ekko.angdt) &lt; 0 then 0</t>
  </si>
  <si>
    <t xml:space="preserve">  else</t>
  </si>
  <si>
    <t xml:space="preserve">    dats_days_between($session.system_date, ekko.angdt) </t>
  </si>
  <si>
    <t>end as DaysRemaining,</t>
  </si>
  <si>
    <t xml:space="preserve">case </t>
  </si>
  <si>
    <t xml:space="preserve">  when ekko.angdt &lt; $session.system_date then 'Overdue'</t>
  </si>
  <si>
    <t xml:space="preserve">  when ekko.statu = 'A' then 'Closed'</t>
  </si>
  <si>
    <t xml:space="preserve">  else 'Open'</t>
  </si>
  <si>
    <t>end as StatusText,</t>
  </si>
  <si>
    <t xml:space="preserve">  when ekko.angdt &lt; $session.system_date then 1</t>
  </si>
  <si>
    <t xml:space="preserve">  when ekko.statu = 'A' then 3</t>
  </si>
  <si>
    <t xml:space="preserve">  else 2</t>
  </si>
  <si>
    <t>end as StatusCriticality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</si>
</sst>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"/>
    <numFmt numFmtId="165" formatCode="[$-409]m/d/yy\ h:mm\ AM/PM"/>
    <numFmt numFmtId="166" formatCode="0.0"/>
    <numFmt numFmtId="167" formatCode="[$-409]d/mmm/yyyy"/>
    <numFmt numFmtId="168" formatCode="[$-409]d\-mmm\-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20"/>
      <color theme="1"/>
      <name val="Arial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2"/>
    </font>
    <font>
      <sz val="16"/>
      <color theme="1"/>
      <name val="Arial"/>
      <family val="2"/>
    </font>
    <font>
      <b/>
      <sz val="13"/>
      <color theme="0"/>
      <name val="Times New Roman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3"/>
      <color rgb="FF0000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2B8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/>
  </cellStyleXfs>
  <cellXfs count="95">
    <xf numFmtId="164" fontId="0" fillId="0" borderId="0" xfId="0"/>
    <xf numFmtId="165" fontId="1" fillId="0" borderId="0" xfId="0" applyNumberFormat="1" applyFont="1" applyAlignment="1">
      <alignment horizontal="left"/>
    </xf>
    <xf numFmtId="164" fontId="3" fillId="0" borderId="1" xfId="0" applyFont="1" applyBorder="1" applyAlignment="1">
      <alignment horizontal="center"/>
    </xf>
    <xf numFmtId="164" fontId="1" fillId="0" borderId="1" xfId="0" applyFont="1" applyBorder="1" applyAlignment="1">
      <alignment horizontal="center" vertical="center" wrapText="1"/>
    </xf>
    <xf numFmtId="164" fontId="2" fillId="2" borderId="2" xfId="0" applyFont="1" applyFill="1" applyBorder="1" applyAlignment="1">
      <alignment horizontal="center" vertical="center"/>
    </xf>
    <xf numFmtId="164" fontId="1" fillId="0" borderId="1" xfId="0" applyFont="1" applyBorder="1" applyAlignment="1">
      <alignment horizontal="center" vertical="center"/>
    </xf>
    <xf numFmtId="0" fontId="0" fillId="0" borderId="8" xfId="0" applyNumberFormat="1" applyBorder="1"/>
    <xf numFmtId="0" fontId="0" fillId="0" borderId="7" xfId="0" applyNumberFormat="1" applyBorder="1"/>
    <xf numFmtId="0" fontId="0" fillId="0" borderId="6" xfId="0" applyNumberFormat="1" applyBorder="1"/>
    <xf numFmtId="0" fontId="0" fillId="0" borderId="5" xfId="0" applyNumberFormat="1" applyBorder="1"/>
    <xf numFmtId="164" fontId="0" fillId="0" borderId="0" xfId="0"/>
    <xf numFmtId="0" fontId="0" fillId="0" borderId="4" xfId="0" applyNumberFormat="1" applyBorder="1"/>
    <xf numFmtId="0" fontId="0" fillId="0" borderId="3" xfId="0" applyNumberFormat="1" applyBorder="1"/>
    <xf numFmtId="0" fontId="0" fillId="0" borderId="2" xfId="0" applyNumberFormat="1" applyBorder="1"/>
    <xf numFmtId="164" fontId="2" fillId="2" borderId="1" xfId="0" applyFont="1" applyFill="1" applyBorder="1" applyAlignment="1">
      <alignment horizontal="center" vertical="center"/>
    </xf>
    <xf numFmtId="164" fontId="4" fillId="0" borderId="0" xfId="0" applyFont="1"/>
    <xf numFmtId="164" fontId="5" fillId="0" borderId="0" xfId="0" applyFont="1"/>
    <xf numFmtId="164" fontId="3" fillId="0" borderId="5" xfId="0" applyFont="1" applyBorder="1"/>
    <xf numFmtId="164" fontId="3" fillId="0" borderId="4" xfId="0" applyFont="1" applyBorder="1"/>
    <xf numFmtId="164" fontId="3" fillId="0" borderId="0" xfId="0" applyFont="1"/>
    <xf numFmtId="164" fontId="6" fillId="0" borderId="0" xfId="0" applyFont="1"/>
    <xf numFmtId="164" fontId="7" fillId="0" borderId="0" xfId="0" applyFont="1"/>
    <xf numFmtId="164" fontId="8" fillId="0" borderId="4" xfId="0" applyFont="1" applyBorder="1"/>
    <xf numFmtId="164" fontId="1" fillId="0" borderId="4" xfId="0" applyFont="1" applyBorder="1"/>
    <xf numFmtId="164" fontId="7" fillId="0" borderId="0" xfId="0" applyFont="1" applyAlignment="1">
      <alignment horizontal="center"/>
    </xf>
    <xf numFmtId="164" fontId="1" fillId="0" borderId="5" xfId="0" applyFont="1" applyBorder="1"/>
    <xf numFmtId="166" fontId="6" fillId="0" borderId="0" xfId="0" applyNumberFormat="1" applyFont="1"/>
    <xf numFmtId="0" fontId="6" fillId="0" borderId="0" xfId="0" applyNumberFormat="1" applyFont="1"/>
    <xf numFmtId="164" fontId="10" fillId="0" borderId="5" xfId="0" applyFont="1" applyBorder="1"/>
    <xf numFmtId="164" fontId="10" fillId="0" borderId="0" xfId="0" applyFont="1"/>
    <xf numFmtId="164" fontId="10" fillId="0" borderId="7" xfId="0" applyFont="1" applyBorder="1"/>
    <xf numFmtId="164" fontId="10" fillId="0" borderId="8" xfId="0" applyFont="1" applyBorder="1"/>
    <xf numFmtId="164" fontId="6" fillId="0" borderId="4" xfId="0" applyFont="1" applyBorder="1"/>
    <xf numFmtId="16" fontId="6" fillId="0" borderId="0" xfId="0" applyNumberFormat="1" applyFont="1"/>
    <xf numFmtId="0" fontId="6" fillId="0" borderId="9" xfId="0" applyNumberFormat="1" applyFont="1" applyBorder="1"/>
    <xf numFmtId="164" fontId="6" fillId="0" borderId="10" xfId="0" applyFont="1" applyBorder="1"/>
    <xf numFmtId="164" fontId="6" fillId="0" borderId="11" xfId="0" applyFont="1" applyBorder="1"/>
    <xf numFmtId="164" fontId="6" fillId="0" borderId="9" xfId="0" applyFont="1" applyBorder="1"/>
    <xf numFmtId="164" fontId="7" fillId="0" borderId="9" xfId="0" applyFont="1" applyBorder="1"/>
    <xf numFmtId="164" fontId="7" fillId="0" borderId="10" xfId="0" applyFont="1" applyBorder="1"/>
    <xf numFmtId="164" fontId="7" fillId="0" borderId="11" xfId="0" applyFont="1" applyBorder="1"/>
    <xf numFmtId="0" fontId="6" fillId="0" borderId="4" xfId="0" applyNumberFormat="1" applyFont="1" applyBorder="1"/>
    <xf numFmtId="164" fontId="6" fillId="0" borderId="5" xfId="0" applyFont="1" applyBorder="1"/>
    <xf numFmtId="0" fontId="7" fillId="0" borderId="4" xfId="0" applyNumberFormat="1" applyFont="1" applyBorder="1"/>
    <xf numFmtId="0" fontId="7" fillId="0" borderId="0" xfId="0" applyNumberFormat="1" applyFont="1"/>
    <xf numFmtId="0" fontId="6" fillId="0" borderId="6" xfId="0" applyNumberFormat="1" applyFont="1" applyBorder="1"/>
    <xf numFmtId="164" fontId="6" fillId="0" borderId="7" xfId="0" applyFont="1" applyBorder="1"/>
    <xf numFmtId="0" fontId="7" fillId="0" borderId="6" xfId="0" applyNumberFormat="1" applyFont="1" applyBorder="1"/>
    <xf numFmtId="164" fontId="6" fillId="0" borderId="8" xfId="0" applyFont="1" applyBorder="1"/>
    <xf numFmtId="164" fontId="7" fillId="0" borderId="4" xfId="0" applyFont="1" applyBorder="1"/>
    <xf numFmtId="164" fontId="7" fillId="0" borderId="6" xfId="0" applyFont="1" applyBorder="1"/>
    <xf numFmtId="164" fontId="7" fillId="0" borderId="7" xfId="0" applyFont="1" applyBorder="1"/>
    <xf numFmtId="164" fontId="6" fillId="0" borderId="6" xfId="0" applyFont="1" applyBorder="1"/>
    <xf numFmtId="164" fontId="7" fillId="0" borderId="0" xfId="0" applyFont="1" applyAlignment="1">
      <alignment vertical="center"/>
    </xf>
    <xf numFmtId="164" fontId="6" fillId="0" borderId="0" xfId="0" applyFont="1" applyAlignment="1">
      <alignment vertical="center"/>
    </xf>
    <xf numFmtId="164" fontId="1" fillId="0" borderId="0" xfId="0" applyFont="1" applyAlignment="1">
      <alignment vertical="center"/>
    </xf>
    <xf numFmtId="0" fontId="7" fillId="0" borderId="0" xfId="0" applyNumberFormat="1" applyFont="1" applyAlignment="1">
      <alignment vertical="center"/>
    </xf>
    <xf numFmtId="164" fontId="7" fillId="0" borderId="0" xfId="0" applyFont="1" applyAlignment="1">
      <alignment vertical="center" wrapText="1"/>
    </xf>
    <xf numFmtId="164" fontId="6" fillId="0" borderId="0" xfId="0" applyFont="1" applyAlignment="1">
      <alignment vertical="center" wrapText="1"/>
    </xf>
    <xf numFmtId="164" fontId="1" fillId="4" borderId="0" xfId="0" applyFont="1" applyFill="1" applyAlignment="1">
      <alignment vertical="center"/>
    </xf>
    <xf numFmtId="164" fontId="7" fillId="0" borderId="0" xfId="0" applyFont="1" applyAlignment="1">
      <alignment horizontal="left" vertical="center"/>
    </xf>
    <xf numFmtId="164" fontId="6" fillId="0" borderId="0" xfId="0" applyFont="1" applyAlignment="1">
      <alignment horizontal="left" vertical="center"/>
    </xf>
    <xf numFmtId="164" fontId="12" fillId="0" borderId="0" xfId="0" applyFont="1"/>
    <xf numFmtId="164" fontId="7" fillId="0" borderId="0" xfId="0" applyFont="1" applyAlignment="1">
      <alignment horizontal="center" vertical="top"/>
    </xf>
    <xf numFmtId="164" fontId="9" fillId="2" borderId="9" xfId="0" applyFont="1" applyFill="1" applyBorder="1" applyAlignment="1">
      <alignment horizontal="left" wrapText="1"/>
    </xf>
    <xf numFmtId="0" fontId="0" fillId="0" borderId="10" xfId="0" applyNumberFormat="1" applyBorder="1"/>
    <xf numFmtId="0" fontId="0" fillId="0" borderId="11" xfId="0" applyNumberFormat="1" applyBorder="1"/>
    <xf numFmtId="0" fontId="6" fillId="3" borderId="9" xfId="0" applyNumberFormat="1" applyFont="1" applyFill="1" applyBorder="1" applyAlignment="1">
      <alignment horizontal="center" wrapText="1"/>
    </xf>
    <xf numFmtId="166" fontId="6" fillId="3" borderId="9" xfId="0" applyNumberFormat="1" applyFont="1" applyFill="1" applyBorder="1" applyAlignment="1">
      <alignment horizontal="center" wrapText="1"/>
    </xf>
    <xf numFmtId="167" fontId="6" fillId="3" borderId="9" xfId="0" applyNumberFormat="1" applyFont="1" applyFill="1" applyBorder="1" applyAlignment="1">
      <alignment horizontal="center" wrapText="1"/>
    </xf>
    <xf numFmtId="164" fontId="7" fillId="0" borderId="9" xfId="0" applyFont="1" applyBorder="1" applyAlignment="1">
      <alignment horizontal="center" vertical="center" wrapText="1"/>
    </xf>
    <xf numFmtId="164" fontId="6" fillId="0" borderId="9" xfId="0" applyFont="1" applyBorder="1" applyAlignment="1">
      <alignment horizontal="center" vertical="center" wrapText="1"/>
    </xf>
    <xf numFmtId="16" fontId="6" fillId="0" borderId="9" xfId="0" applyNumberFormat="1" applyFont="1" applyBorder="1" applyAlignment="1">
      <alignment horizontal="center" vertical="center" wrapText="1"/>
    </xf>
    <xf numFmtId="164" fontId="6" fillId="0" borderId="9" xfId="0" applyFont="1" applyBorder="1" applyAlignment="1">
      <alignment horizontal="center" wrapText="1"/>
    </xf>
    <xf numFmtId="168" fontId="6" fillId="0" borderId="9" xfId="0" applyNumberFormat="1" applyFont="1" applyBorder="1" applyAlignment="1">
      <alignment horizontal="center" wrapText="1"/>
    </xf>
    <xf numFmtId="164" fontId="9" fillId="2" borderId="9" xfId="0" applyFont="1" applyFill="1" applyBorder="1" applyAlignment="1">
      <alignment horizontal="center" wrapText="1"/>
    </xf>
    <xf numFmtId="164" fontId="9" fillId="2" borderId="1" xfId="0" applyFont="1" applyFill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/>
    </xf>
    <xf numFmtId="168" fontId="6" fillId="0" borderId="9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164" fontId="6" fillId="0" borderId="9" xfId="0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164" fontId="6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4" fontId="10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4" fontId="11" fillId="0" borderId="1" xfId="0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top"/>
    </xf>
    <xf numFmtId="164" fontId="11" fillId="0" borderId="1" xfId="0" applyFont="1" applyBorder="1" applyAlignment="1">
      <alignment horizontal="center" vertical="center" wrapText="1"/>
    </xf>
    <xf numFmtId="164" fontId="1" fillId="0" borderId="9" xfId="0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left" vertical="center" wrapText="1"/>
    </xf>
    <xf numFmtId="0" fontId="6" fillId="0" borderId="9" xfId="0" applyNumberFormat="1" applyFont="1" applyBorder="1" applyAlignment="1">
      <alignment wrapText="1"/>
    </xf>
    <xf numFmtId="164" fontId="6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</xdr:colOff>
      <xdr:row>5</xdr:row>
      <xdr:rowOff>0</xdr:rowOff>
    </xdr:from>
    <xdr:ext cx="25717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5F42982-CAB0-4A0E-9F28-C039CD37983B}"/>
            </a:ext>
          </a:extLst>
        </xdr:cNvPr>
        <xdr:cNvSpPr/>
      </xdr:nvSpPr>
      <xdr:spPr>
        <a:xfrm>
          <a:off x="5314950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</xdr:row>
      <xdr:rowOff>0</xdr:rowOff>
    </xdr:from>
    <xdr:ext cx="25717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AB0F9E2-903E-4B46-AD8B-8CCC8D437A3D}"/>
            </a:ext>
          </a:extLst>
        </xdr:cNvPr>
        <xdr:cNvSpPr/>
      </xdr:nvSpPr>
      <xdr:spPr>
        <a:xfrm>
          <a:off x="6067425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</xdr:colOff>
      <xdr:row>5</xdr:row>
      <xdr:rowOff>0</xdr:rowOff>
    </xdr:from>
    <xdr:ext cx="257175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DF4102F3-E11B-4F7E-9122-8A77CB85AECC}"/>
            </a:ext>
          </a:extLst>
        </xdr:cNvPr>
        <xdr:cNvSpPr/>
      </xdr:nvSpPr>
      <xdr:spPr>
        <a:xfrm>
          <a:off x="4933950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0</xdr:colOff>
      <xdr:row>26</xdr:row>
      <xdr:rowOff>0</xdr:rowOff>
    </xdr:from>
    <xdr:ext cx="257175" cy="3333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4747C50A-85C3-4494-9A21-A2C3AFA29353}"/>
            </a:ext>
          </a:extLst>
        </xdr:cNvPr>
        <xdr:cNvSpPr/>
      </xdr:nvSpPr>
      <xdr:spPr>
        <a:xfrm>
          <a:off x="571500" y="509587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9525</xdr:colOff>
      <xdr:row>5</xdr:row>
      <xdr:rowOff>0</xdr:rowOff>
    </xdr:from>
    <xdr:ext cx="257175" cy="3333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37B35CAF-B810-4F38-99F1-C7FA0E1A6778}"/>
            </a:ext>
          </a:extLst>
        </xdr:cNvPr>
        <xdr:cNvSpPr/>
      </xdr:nvSpPr>
      <xdr:spPr>
        <a:xfrm>
          <a:off x="5314950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</xdr:row>
      <xdr:rowOff>0</xdr:rowOff>
    </xdr:from>
    <xdr:ext cx="257175" cy="3333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4226F9B-ED99-4DF4-9917-3439F8C455EC}"/>
            </a:ext>
          </a:extLst>
        </xdr:cNvPr>
        <xdr:cNvSpPr/>
      </xdr:nvSpPr>
      <xdr:spPr>
        <a:xfrm>
          <a:off x="6067425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</xdr:colOff>
      <xdr:row>5</xdr:row>
      <xdr:rowOff>0</xdr:rowOff>
    </xdr:from>
    <xdr:ext cx="257175" cy="3333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ABA507AB-09EB-44C2-9CBD-C0BBF15280EC}"/>
            </a:ext>
          </a:extLst>
        </xdr:cNvPr>
        <xdr:cNvSpPr/>
      </xdr:nvSpPr>
      <xdr:spPr>
        <a:xfrm>
          <a:off x="4933950" y="103822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0</xdr:colOff>
      <xdr:row>26</xdr:row>
      <xdr:rowOff>0</xdr:rowOff>
    </xdr:from>
    <xdr:ext cx="257175" cy="3333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316A05C1-9F52-4809-9214-6DD085847536}"/>
            </a:ext>
          </a:extLst>
        </xdr:cNvPr>
        <xdr:cNvSpPr/>
      </xdr:nvSpPr>
      <xdr:spPr>
        <a:xfrm>
          <a:off x="571500" y="5095875"/>
          <a:ext cx="257175" cy="333375"/>
        </a:xfrm>
        <a:prstGeom prst="rect">
          <a:avLst/>
        </a:prstGeom>
        <a:noFill/>
        <a:ln>
          <a:noFill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showGridLines="0" topLeftCell="A6" workbookViewId="0">
      <selection sqref="A1:C3"/>
    </sheetView>
  </sheetViews>
  <sheetFormatPr defaultColWidth="14.3984375" defaultRowHeight="15" customHeight="1" x14ac:dyDescent="0.45"/>
  <cols>
    <col min="1" max="32" width="2.86328125" customWidth="1"/>
    <col min="33" max="33" width="7.73046875" customWidth="1"/>
    <col min="34" max="34" width="3.59765625" customWidth="1"/>
    <col min="35" max="47" width="2.86328125" customWidth="1"/>
  </cols>
  <sheetData>
    <row r="1" spans="1:47" ht="14.25" x14ac:dyDescent="0.45">
      <c r="A1" s="14" t="s">
        <v>0</v>
      </c>
      <c r="B1" s="13"/>
      <c r="C1" s="12"/>
      <c r="D1" s="5" t="str">
        <f>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5" t="str">
        <f ca="1">MID(CELL("filename",A1),FIND("]",CELL("filename",A1))+1,255)</f>
        <v>01.Cover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2"/>
    </row>
    <row r="2" spans="1:47" ht="14.25" customHeight="1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11"/>
      <c r="P2" s="10"/>
      <c r="Q2" s="10"/>
      <c r="R2" s="10"/>
      <c r="S2" s="10"/>
      <c r="T2" s="10"/>
      <c r="U2" s="9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9"/>
    </row>
    <row r="3" spans="1:47" ht="14.25" customHeight="1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8"/>
      <c r="P3" s="7"/>
      <c r="Q3" s="7"/>
      <c r="R3" s="7"/>
      <c r="S3" s="7"/>
      <c r="T3" s="7"/>
      <c r="U3" s="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6"/>
    </row>
    <row r="4" spans="1:47" ht="24.75" x14ac:dyDescent="0.65">
      <c r="A4" s="2"/>
      <c r="B4" s="13"/>
      <c r="C4" s="13"/>
      <c r="D4" s="13"/>
      <c r="E4" s="13"/>
      <c r="F4" s="13"/>
      <c r="G4" s="1"/>
      <c r="H4" s="10"/>
      <c r="I4" s="10"/>
      <c r="J4" s="10"/>
      <c r="K4" s="10"/>
      <c r="L4" s="10"/>
      <c r="M4" s="10"/>
      <c r="N4" s="10"/>
      <c r="O4" s="10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6"/>
      <c r="AS4" s="16"/>
      <c r="AT4" s="16"/>
      <c r="AU4" s="17"/>
    </row>
    <row r="5" spans="1:47" ht="24.75" x14ac:dyDescent="0.65">
      <c r="A5" s="18"/>
      <c r="B5" s="19"/>
      <c r="C5" s="19"/>
      <c r="D5" s="19"/>
      <c r="E5" s="19"/>
      <c r="F5" s="16"/>
      <c r="G5" s="16"/>
      <c r="H5" s="16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6"/>
      <c r="AS5" s="16"/>
      <c r="AT5" s="16"/>
      <c r="AU5" s="17"/>
    </row>
    <row r="6" spans="1:47" ht="24.75" x14ac:dyDescent="0.65">
      <c r="A6" s="18"/>
      <c r="B6" s="19"/>
      <c r="C6" s="19"/>
      <c r="D6" s="19"/>
      <c r="E6" s="19"/>
      <c r="F6" s="16"/>
      <c r="G6" s="16"/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6"/>
      <c r="AS6" s="16"/>
      <c r="AT6" s="16"/>
      <c r="AU6" s="17"/>
    </row>
    <row r="7" spans="1:47" ht="16.5" x14ac:dyDescent="0.45">
      <c r="A7" s="18"/>
      <c r="B7" s="20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0"/>
      <c r="AS7" s="20"/>
      <c r="AT7" s="20"/>
      <c r="AU7" s="17"/>
    </row>
    <row r="8" spans="1:47" ht="20.25" x14ac:dyDescent="0.55000000000000004">
      <c r="A8" s="22"/>
      <c r="B8" s="20"/>
      <c r="C8" s="20"/>
      <c r="D8" s="20"/>
      <c r="E8" s="20"/>
      <c r="F8" s="20"/>
      <c r="G8" s="20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0"/>
      <c r="AS8" s="20"/>
      <c r="AT8" s="20"/>
      <c r="AU8" s="17"/>
    </row>
    <row r="9" spans="1:47" ht="20.25" x14ac:dyDescent="0.55000000000000004">
      <c r="A9" s="22"/>
      <c r="B9" s="63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7"/>
    </row>
    <row r="10" spans="1:47" ht="20.25" x14ac:dyDescent="0.55000000000000004">
      <c r="A10" s="2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7"/>
    </row>
    <row r="11" spans="1:47" ht="14.25" customHeight="1" x14ac:dyDescent="0.45">
      <c r="A11" s="2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4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5"/>
    </row>
    <row r="12" spans="1:47" ht="14.25" customHeight="1" x14ac:dyDescent="0.45">
      <c r="A12" s="23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64" t="s">
        <v>4</v>
      </c>
      <c r="Q12" s="65"/>
      <c r="R12" s="65"/>
      <c r="S12" s="65"/>
      <c r="T12" s="65"/>
      <c r="U12" s="65"/>
      <c r="V12" s="65"/>
      <c r="W12" s="65"/>
      <c r="X12" s="66"/>
      <c r="Y12" s="67" t="s">
        <v>5</v>
      </c>
      <c r="Z12" s="65"/>
      <c r="AA12" s="65"/>
      <c r="AB12" s="65"/>
      <c r="AC12" s="65"/>
      <c r="AD12" s="65"/>
      <c r="AE12" s="65"/>
      <c r="AF12" s="65"/>
      <c r="AG12" s="66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5"/>
    </row>
    <row r="13" spans="1:47" ht="16.5" x14ac:dyDescent="0.45">
      <c r="A13" s="23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64" t="s">
        <v>6</v>
      </c>
      <c r="Q13" s="65"/>
      <c r="R13" s="65"/>
      <c r="S13" s="65"/>
      <c r="T13" s="65"/>
      <c r="U13" s="65"/>
      <c r="V13" s="65"/>
      <c r="W13" s="65"/>
      <c r="X13" s="66"/>
      <c r="Y13" s="68" t="s">
        <v>7</v>
      </c>
      <c r="Z13" s="65"/>
      <c r="AA13" s="65"/>
      <c r="AB13" s="65"/>
      <c r="AC13" s="65"/>
      <c r="AD13" s="65"/>
      <c r="AE13" s="65"/>
      <c r="AF13" s="65"/>
      <c r="AG13" s="66"/>
      <c r="AH13" s="26"/>
      <c r="AI13" s="20"/>
      <c r="AJ13" s="20"/>
      <c r="AK13" s="20" t="str">
        <f>TEXT(AH13,)</f>
        <v/>
      </c>
      <c r="AL13" s="20"/>
      <c r="AM13" s="20"/>
      <c r="AN13" s="20"/>
      <c r="AO13" s="20"/>
      <c r="AP13" s="20"/>
      <c r="AQ13" s="20"/>
      <c r="AR13" s="20"/>
      <c r="AS13" s="20"/>
      <c r="AT13" s="20"/>
      <c r="AU13" s="25"/>
    </row>
    <row r="14" spans="1:47" ht="14.25" customHeight="1" x14ac:dyDescent="0.45">
      <c r="A14" s="23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64" t="s">
        <v>8</v>
      </c>
      <c r="Q14" s="65"/>
      <c r="R14" s="65"/>
      <c r="S14" s="65"/>
      <c r="T14" s="65"/>
      <c r="U14" s="65"/>
      <c r="V14" s="65"/>
      <c r="W14" s="65"/>
      <c r="X14" s="66"/>
      <c r="Y14" s="69" t="s">
        <v>9</v>
      </c>
      <c r="Z14" s="65"/>
      <c r="AA14" s="65"/>
      <c r="AB14" s="65"/>
      <c r="AC14" s="65"/>
      <c r="AD14" s="65"/>
      <c r="AE14" s="65"/>
      <c r="AF14" s="65"/>
      <c r="AG14" s="66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5"/>
    </row>
    <row r="15" spans="1:47" ht="16.5" x14ac:dyDescent="0.4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0"/>
      <c r="AT15" s="20"/>
      <c r="AU15" s="28"/>
    </row>
    <row r="16" spans="1:47" ht="16.5" x14ac:dyDescent="0.45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0"/>
      <c r="AT16" s="20"/>
      <c r="AU16" s="28"/>
    </row>
    <row r="17" spans="1:47" ht="16.5" x14ac:dyDescent="0.45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0"/>
      <c r="AT17" s="20"/>
      <c r="AU17" s="28"/>
    </row>
    <row r="18" spans="1:47" ht="16.5" x14ac:dyDescent="0.45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0"/>
      <c r="AT18" s="20"/>
      <c r="AU18" s="28"/>
    </row>
    <row r="19" spans="1:47" ht="16.5" x14ac:dyDescent="0.45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75" t="s">
        <v>10</v>
      </c>
      <c r="N19" s="65"/>
      <c r="O19" s="65"/>
      <c r="P19" s="65"/>
      <c r="Q19" s="65"/>
      <c r="R19" s="66"/>
      <c r="S19" s="75" t="s">
        <v>11</v>
      </c>
      <c r="T19" s="65"/>
      <c r="U19" s="65"/>
      <c r="V19" s="65"/>
      <c r="W19" s="65"/>
      <c r="X19" s="65"/>
      <c r="Y19" s="65"/>
      <c r="Z19" s="65"/>
      <c r="AA19" s="66"/>
      <c r="AB19" s="75" t="s">
        <v>12</v>
      </c>
      <c r="AC19" s="65"/>
      <c r="AD19" s="65"/>
      <c r="AE19" s="65"/>
      <c r="AF19" s="65"/>
      <c r="AG19" s="65"/>
      <c r="AH19" s="66"/>
      <c r="AI19" s="75" t="s">
        <v>13</v>
      </c>
      <c r="AJ19" s="65"/>
      <c r="AK19" s="65"/>
      <c r="AL19" s="65"/>
      <c r="AM19" s="66"/>
      <c r="AN19" s="27"/>
      <c r="AO19" s="27"/>
      <c r="AP19" s="27"/>
      <c r="AQ19" s="27"/>
      <c r="AR19" s="27"/>
      <c r="AS19" s="20"/>
      <c r="AT19" s="20"/>
      <c r="AU19" s="28"/>
    </row>
    <row r="20" spans="1:47" ht="16.5" x14ac:dyDescent="0.4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70" t="s">
        <v>14</v>
      </c>
      <c r="N20" s="65"/>
      <c r="O20" s="65"/>
      <c r="P20" s="65"/>
      <c r="Q20" s="65"/>
      <c r="R20" s="66"/>
      <c r="S20" s="73" t="s">
        <v>15</v>
      </c>
      <c r="T20" s="65"/>
      <c r="U20" s="65"/>
      <c r="V20" s="65"/>
      <c r="W20" s="65"/>
      <c r="X20" s="65"/>
      <c r="Y20" s="65"/>
      <c r="Z20" s="65"/>
      <c r="AA20" s="66"/>
      <c r="AB20" s="73" t="s">
        <v>16</v>
      </c>
      <c r="AC20" s="65"/>
      <c r="AD20" s="65"/>
      <c r="AE20" s="65"/>
      <c r="AF20" s="65"/>
      <c r="AG20" s="65"/>
      <c r="AH20" s="66"/>
      <c r="AI20" s="74">
        <v>46360</v>
      </c>
      <c r="AJ20" s="65"/>
      <c r="AK20" s="65"/>
      <c r="AL20" s="65"/>
      <c r="AM20" s="66"/>
      <c r="AN20" s="27"/>
      <c r="AO20" s="27"/>
      <c r="AP20" s="27"/>
      <c r="AQ20" s="27"/>
      <c r="AR20" s="27"/>
      <c r="AS20" s="20"/>
      <c r="AT20" s="20"/>
      <c r="AU20" s="28"/>
    </row>
    <row r="21" spans="1:47" ht="14.25" customHeight="1" x14ac:dyDescent="0.45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70" t="s">
        <v>17</v>
      </c>
      <c r="N21" s="65"/>
      <c r="O21" s="65"/>
      <c r="P21" s="65"/>
      <c r="Q21" s="65"/>
      <c r="R21" s="66"/>
      <c r="S21" s="71"/>
      <c r="T21" s="65"/>
      <c r="U21" s="65"/>
      <c r="V21" s="65"/>
      <c r="W21" s="65"/>
      <c r="X21" s="65"/>
      <c r="Y21" s="65"/>
      <c r="Z21" s="65"/>
      <c r="AA21" s="66"/>
      <c r="AB21" s="71"/>
      <c r="AC21" s="65"/>
      <c r="AD21" s="65"/>
      <c r="AE21" s="65"/>
      <c r="AF21" s="65"/>
      <c r="AG21" s="65"/>
      <c r="AH21" s="66"/>
      <c r="AI21" s="72"/>
      <c r="AJ21" s="65"/>
      <c r="AK21" s="65"/>
      <c r="AL21" s="65"/>
      <c r="AM21" s="66"/>
      <c r="AN21" s="27"/>
      <c r="AO21" s="27"/>
      <c r="AP21" s="27"/>
      <c r="AQ21" s="27"/>
      <c r="AR21" s="27"/>
      <c r="AS21" s="20"/>
      <c r="AT21" s="20"/>
      <c r="AU21" s="28"/>
    </row>
    <row r="22" spans="1:47" ht="14.25" customHeight="1" x14ac:dyDescent="0.45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70" t="s">
        <v>18</v>
      </c>
      <c r="N22" s="65"/>
      <c r="O22" s="65"/>
      <c r="P22" s="65"/>
      <c r="Q22" s="65"/>
      <c r="R22" s="66"/>
      <c r="S22" s="71"/>
      <c r="T22" s="65"/>
      <c r="U22" s="65"/>
      <c r="V22" s="65"/>
      <c r="W22" s="65"/>
      <c r="X22" s="65"/>
      <c r="Y22" s="65"/>
      <c r="Z22" s="65"/>
      <c r="AA22" s="66"/>
      <c r="AB22" s="71"/>
      <c r="AC22" s="65"/>
      <c r="AD22" s="65"/>
      <c r="AE22" s="65"/>
      <c r="AF22" s="65"/>
      <c r="AG22" s="65"/>
      <c r="AH22" s="66"/>
      <c r="AI22" s="71"/>
      <c r="AJ22" s="65"/>
      <c r="AK22" s="65"/>
      <c r="AL22" s="65"/>
      <c r="AM22" s="66"/>
      <c r="AN22" s="27"/>
      <c r="AO22" s="27"/>
      <c r="AP22" s="27"/>
      <c r="AQ22" s="27"/>
      <c r="AR22" s="27"/>
      <c r="AS22" s="20"/>
      <c r="AT22" s="20"/>
      <c r="AU22" s="28"/>
    </row>
    <row r="23" spans="1:47" ht="15.75" customHeight="1" x14ac:dyDescent="0.45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0"/>
      <c r="AT23" s="20"/>
      <c r="AU23" s="28"/>
    </row>
    <row r="24" spans="1:47" ht="15.75" customHeight="1" x14ac:dyDescent="0.4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0"/>
      <c r="AT24" s="20"/>
      <c r="AU24" s="28"/>
    </row>
    <row r="25" spans="1:47" ht="15.75" customHeight="1" x14ac:dyDescent="0.4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0"/>
      <c r="AT25" s="20"/>
      <c r="AU25" s="28"/>
    </row>
    <row r="26" spans="1:47" ht="15.75" customHeight="1" x14ac:dyDescent="0.45">
      <c r="AS26" s="29"/>
      <c r="AT26" s="29"/>
      <c r="AU26" s="28"/>
    </row>
    <row r="27" spans="1:47" ht="15.75" customHeight="1" x14ac:dyDescent="0.45">
      <c r="AS27" s="29"/>
      <c r="AT27" s="29"/>
      <c r="AU27" s="28"/>
    </row>
    <row r="28" spans="1:47" ht="15.75" customHeight="1" x14ac:dyDescent="0.4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1"/>
    </row>
    <row r="29" spans="1:47" ht="15.75" customHeight="1" x14ac:dyDescent="0.45"/>
    <row r="30" spans="1:47" ht="15.75" customHeight="1" x14ac:dyDescent="0.45"/>
    <row r="31" spans="1:47" ht="15.75" customHeight="1" x14ac:dyDescent="0.45"/>
    <row r="32" spans="1:4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31">
    <mergeCell ref="AI20:AM20"/>
    <mergeCell ref="P14:X14"/>
    <mergeCell ref="M19:R19"/>
    <mergeCell ref="S19:AA19"/>
    <mergeCell ref="AB19:AH19"/>
    <mergeCell ref="AI19:AM19"/>
    <mergeCell ref="M20:R20"/>
    <mergeCell ref="S20:AA20"/>
    <mergeCell ref="AI21:AM21"/>
    <mergeCell ref="M22:R22"/>
    <mergeCell ref="S22:AA22"/>
    <mergeCell ref="AB22:AH22"/>
    <mergeCell ref="AI22:AM22"/>
    <mergeCell ref="P13:X13"/>
    <mergeCell ref="Y13:AG13"/>
    <mergeCell ref="Y14:AG14"/>
    <mergeCell ref="M21:R21"/>
    <mergeCell ref="S21:AA21"/>
    <mergeCell ref="AB21:AH21"/>
    <mergeCell ref="AB20:AH20"/>
    <mergeCell ref="Z1:AU3"/>
    <mergeCell ref="A4:F4"/>
    <mergeCell ref="G4:O4"/>
    <mergeCell ref="B9:AT10"/>
    <mergeCell ref="P12:X12"/>
    <mergeCell ref="Y12:AG12"/>
    <mergeCell ref="A1:C3"/>
    <mergeCell ref="D1:J3"/>
    <mergeCell ref="K1:N3"/>
    <mergeCell ref="O1:U3"/>
    <mergeCell ref="V1:Y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0"/>
  <sheetViews>
    <sheetView showGridLines="0" workbookViewId="0">
      <selection sqref="A1:C3"/>
    </sheetView>
  </sheetViews>
  <sheetFormatPr defaultColWidth="14.3984375" defaultRowHeight="15" customHeight="1" x14ac:dyDescent="0.45"/>
  <cols>
    <col min="1" max="17" width="2.86328125" customWidth="1"/>
    <col min="18" max="18" width="27.265625" customWidth="1"/>
    <col min="19" max="46" width="2.86328125" customWidth="1"/>
  </cols>
  <sheetData>
    <row r="1" spans="1:46" ht="14.25" x14ac:dyDescent="0.45">
      <c r="A1" s="14" t="s">
        <v>0</v>
      </c>
      <c r="B1" s="13"/>
      <c r="C1" s="12"/>
      <c r="D1" s="3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5" t="str">
        <f ca="1">MID(CELL("filename",A1),FIND("]",CELL("filename",A1))+1,255)</f>
        <v>02.Revision_History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2"/>
    </row>
    <row r="2" spans="1:46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11"/>
      <c r="P2" s="10"/>
      <c r="Q2" s="10"/>
      <c r="R2" s="10"/>
      <c r="S2" s="10"/>
      <c r="T2" s="10"/>
      <c r="U2" s="9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9"/>
    </row>
    <row r="3" spans="1:46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8"/>
      <c r="P3" s="7"/>
      <c r="Q3" s="7"/>
      <c r="R3" s="7"/>
      <c r="S3" s="7"/>
      <c r="T3" s="7"/>
      <c r="U3" s="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6"/>
    </row>
    <row r="4" spans="1:46" ht="16.5" x14ac:dyDescent="0.45">
      <c r="A4" s="32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3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6.5" x14ac:dyDescent="0.45">
      <c r="A5" s="32"/>
      <c r="B5" s="76" t="s">
        <v>19</v>
      </c>
      <c r="C5" s="12"/>
      <c r="D5" s="76" t="s">
        <v>13</v>
      </c>
      <c r="E5" s="13"/>
      <c r="F5" s="13"/>
      <c r="G5" s="13"/>
      <c r="H5" s="13"/>
      <c r="I5" s="12"/>
      <c r="J5" s="76" t="s">
        <v>11</v>
      </c>
      <c r="K5" s="13"/>
      <c r="L5" s="13"/>
      <c r="M5" s="13"/>
      <c r="N5" s="13"/>
      <c r="O5" s="13"/>
      <c r="P5" s="13"/>
      <c r="Q5" s="13"/>
      <c r="R5" s="12"/>
      <c r="S5" s="76" t="s">
        <v>12</v>
      </c>
      <c r="T5" s="13"/>
      <c r="U5" s="12"/>
      <c r="V5" s="76" t="s">
        <v>20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2"/>
    </row>
    <row r="6" spans="1:46" ht="16.5" x14ac:dyDescent="0.45">
      <c r="A6" s="32"/>
      <c r="B6" s="8"/>
      <c r="C6" s="6"/>
      <c r="D6" s="8"/>
      <c r="E6" s="7"/>
      <c r="F6" s="7"/>
      <c r="G6" s="7"/>
      <c r="H6" s="7"/>
      <c r="I6" s="6"/>
      <c r="J6" s="8"/>
      <c r="K6" s="7"/>
      <c r="L6" s="7"/>
      <c r="M6" s="7"/>
      <c r="N6" s="7"/>
      <c r="O6" s="7"/>
      <c r="P6" s="7"/>
      <c r="Q6" s="7"/>
      <c r="R6" s="6"/>
      <c r="S6" s="8"/>
      <c r="T6" s="7"/>
      <c r="U6" s="6"/>
      <c r="V6" s="8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6"/>
    </row>
    <row r="7" spans="1:46" ht="16.5" x14ac:dyDescent="0.45">
      <c r="A7" s="32"/>
      <c r="B7" s="77">
        <v>1</v>
      </c>
      <c r="C7" s="66"/>
      <c r="D7" s="78" t="s">
        <v>21</v>
      </c>
      <c r="E7" s="65"/>
      <c r="F7" s="65"/>
      <c r="G7" s="65"/>
      <c r="H7" s="65"/>
      <c r="I7" s="66"/>
      <c r="J7" s="79" t="s">
        <v>22</v>
      </c>
      <c r="K7" s="65"/>
      <c r="L7" s="65"/>
      <c r="M7" s="65"/>
      <c r="N7" s="65"/>
      <c r="O7" s="65"/>
      <c r="P7" s="65"/>
      <c r="Q7" s="65"/>
      <c r="R7" s="66"/>
      <c r="S7" s="80"/>
      <c r="T7" s="65"/>
      <c r="U7" s="66"/>
      <c r="V7" s="34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6"/>
    </row>
    <row r="8" spans="1:46" ht="16.5" x14ac:dyDescent="0.45">
      <c r="A8" s="32"/>
      <c r="B8" s="77"/>
      <c r="C8" s="66"/>
      <c r="D8" s="78"/>
      <c r="E8" s="65"/>
      <c r="F8" s="65"/>
      <c r="G8" s="65"/>
      <c r="H8" s="65"/>
      <c r="I8" s="66"/>
      <c r="J8" s="80"/>
      <c r="K8" s="65"/>
      <c r="L8" s="65"/>
      <c r="M8" s="65"/>
      <c r="N8" s="65"/>
      <c r="O8" s="65"/>
      <c r="P8" s="65"/>
      <c r="Q8" s="65"/>
      <c r="R8" s="66"/>
      <c r="S8" s="80"/>
      <c r="T8" s="65"/>
      <c r="U8" s="66"/>
      <c r="V8" s="37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6"/>
    </row>
    <row r="9" spans="1:46" ht="16.5" x14ac:dyDescent="0.45">
      <c r="A9" s="32"/>
      <c r="B9" s="77"/>
      <c r="C9" s="66"/>
      <c r="D9" s="78"/>
      <c r="E9" s="65"/>
      <c r="F9" s="65"/>
      <c r="G9" s="65"/>
      <c r="H9" s="65"/>
      <c r="I9" s="66"/>
      <c r="J9" s="80"/>
      <c r="K9" s="65"/>
      <c r="L9" s="65"/>
      <c r="M9" s="65"/>
      <c r="N9" s="65"/>
      <c r="O9" s="65"/>
      <c r="P9" s="65"/>
      <c r="Q9" s="65"/>
      <c r="R9" s="66"/>
      <c r="S9" s="80"/>
      <c r="T9" s="65"/>
      <c r="U9" s="66"/>
      <c r="V9" s="37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6"/>
    </row>
    <row r="10" spans="1:46" ht="16.5" x14ac:dyDescent="0.45">
      <c r="A10" s="32"/>
      <c r="B10" s="77"/>
      <c r="C10" s="66"/>
      <c r="D10" s="78"/>
      <c r="E10" s="65"/>
      <c r="F10" s="65"/>
      <c r="G10" s="65"/>
      <c r="H10" s="65"/>
      <c r="I10" s="66"/>
      <c r="J10" s="80"/>
      <c r="K10" s="65"/>
      <c r="L10" s="65"/>
      <c r="M10" s="65"/>
      <c r="N10" s="65"/>
      <c r="O10" s="65"/>
      <c r="P10" s="65"/>
      <c r="Q10" s="65"/>
      <c r="R10" s="66"/>
      <c r="S10" s="80"/>
      <c r="T10" s="65"/>
      <c r="U10" s="66"/>
      <c r="V10" s="37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6"/>
    </row>
    <row r="11" spans="1:46" ht="16.5" x14ac:dyDescent="0.45">
      <c r="A11" s="32"/>
      <c r="B11" s="77"/>
      <c r="C11" s="66"/>
      <c r="D11" s="78"/>
      <c r="E11" s="65"/>
      <c r="F11" s="65"/>
      <c r="G11" s="65"/>
      <c r="H11" s="65"/>
      <c r="I11" s="66"/>
      <c r="J11" s="80"/>
      <c r="K11" s="65"/>
      <c r="L11" s="65"/>
      <c r="M11" s="65"/>
      <c r="N11" s="65"/>
      <c r="O11" s="65"/>
      <c r="P11" s="65"/>
      <c r="Q11" s="65"/>
      <c r="R11" s="66"/>
      <c r="S11" s="80"/>
      <c r="T11" s="65"/>
      <c r="U11" s="66"/>
      <c r="V11" s="37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6"/>
    </row>
    <row r="12" spans="1:46" ht="16.5" x14ac:dyDescent="0.45">
      <c r="A12" s="32"/>
      <c r="B12" s="77"/>
      <c r="C12" s="66"/>
      <c r="D12" s="78"/>
      <c r="E12" s="65"/>
      <c r="F12" s="65"/>
      <c r="G12" s="65"/>
      <c r="H12" s="65"/>
      <c r="I12" s="66"/>
      <c r="J12" s="80"/>
      <c r="K12" s="65"/>
      <c r="L12" s="65"/>
      <c r="M12" s="65"/>
      <c r="N12" s="65"/>
      <c r="O12" s="65"/>
      <c r="P12" s="65"/>
      <c r="Q12" s="65"/>
      <c r="R12" s="66"/>
      <c r="S12" s="80"/>
      <c r="T12" s="65"/>
      <c r="U12" s="66"/>
      <c r="V12" s="37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6"/>
    </row>
    <row r="13" spans="1:46" ht="16.5" x14ac:dyDescent="0.45">
      <c r="A13" s="32"/>
      <c r="B13" s="77"/>
      <c r="C13" s="66"/>
      <c r="D13" s="78"/>
      <c r="E13" s="65"/>
      <c r="F13" s="65"/>
      <c r="G13" s="65"/>
      <c r="H13" s="65"/>
      <c r="I13" s="66"/>
      <c r="J13" s="80"/>
      <c r="K13" s="65"/>
      <c r="L13" s="65"/>
      <c r="M13" s="65"/>
      <c r="N13" s="65"/>
      <c r="O13" s="65"/>
      <c r="P13" s="65"/>
      <c r="Q13" s="65"/>
      <c r="R13" s="66"/>
      <c r="S13" s="80"/>
      <c r="T13" s="65"/>
      <c r="U13" s="66"/>
      <c r="V13" s="37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6"/>
    </row>
    <row r="14" spans="1:46" ht="16.5" x14ac:dyDescent="0.45">
      <c r="A14" s="32"/>
      <c r="B14" s="77"/>
      <c r="C14" s="66"/>
      <c r="D14" s="78"/>
      <c r="E14" s="65"/>
      <c r="F14" s="65"/>
      <c r="G14" s="65"/>
      <c r="H14" s="65"/>
      <c r="I14" s="66"/>
      <c r="J14" s="80"/>
      <c r="K14" s="65"/>
      <c r="L14" s="65"/>
      <c r="M14" s="65"/>
      <c r="N14" s="65"/>
      <c r="O14" s="65"/>
      <c r="P14" s="65"/>
      <c r="Q14" s="65"/>
      <c r="R14" s="66"/>
      <c r="S14" s="80"/>
      <c r="T14" s="65"/>
      <c r="U14" s="66"/>
      <c r="V14" s="37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6.5" x14ac:dyDescent="0.45">
      <c r="A15" s="32"/>
      <c r="B15" s="77"/>
      <c r="C15" s="66"/>
      <c r="D15" s="78"/>
      <c r="E15" s="65"/>
      <c r="F15" s="65"/>
      <c r="G15" s="65"/>
      <c r="H15" s="65"/>
      <c r="I15" s="66"/>
      <c r="J15" s="80"/>
      <c r="K15" s="65"/>
      <c r="L15" s="65"/>
      <c r="M15" s="65"/>
      <c r="N15" s="65"/>
      <c r="O15" s="65"/>
      <c r="P15" s="65"/>
      <c r="Q15" s="65"/>
      <c r="R15" s="66"/>
      <c r="S15" s="80"/>
      <c r="T15" s="65"/>
      <c r="U15" s="66"/>
      <c r="V15" s="37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6"/>
    </row>
    <row r="16" spans="1:46" ht="16.5" x14ac:dyDescent="0.45">
      <c r="A16" s="32"/>
      <c r="B16" s="77"/>
      <c r="C16" s="66"/>
      <c r="D16" s="78"/>
      <c r="E16" s="65"/>
      <c r="F16" s="65"/>
      <c r="G16" s="65"/>
      <c r="H16" s="65"/>
      <c r="I16" s="66"/>
      <c r="J16" s="80"/>
      <c r="K16" s="65"/>
      <c r="L16" s="65"/>
      <c r="M16" s="65"/>
      <c r="N16" s="65"/>
      <c r="O16" s="65"/>
      <c r="P16" s="65"/>
      <c r="Q16" s="65"/>
      <c r="R16" s="66"/>
      <c r="S16" s="80"/>
      <c r="T16" s="65"/>
      <c r="U16" s="66"/>
      <c r="V16" s="37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6"/>
    </row>
    <row r="17" spans="1:46" ht="16.5" x14ac:dyDescent="0.45">
      <c r="A17" s="27"/>
      <c r="B17" s="86"/>
      <c r="C17" s="10"/>
      <c r="D17" s="81"/>
      <c r="E17" s="10"/>
      <c r="F17" s="10"/>
      <c r="G17" s="10"/>
      <c r="H17" s="10"/>
      <c r="I17" s="10"/>
      <c r="J17" s="82"/>
      <c r="K17" s="10"/>
      <c r="L17" s="10"/>
      <c r="M17" s="10"/>
      <c r="N17" s="10"/>
      <c r="O17" s="10"/>
      <c r="P17" s="10"/>
      <c r="Q17" s="10"/>
      <c r="R17" s="10"/>
      <c r="S17" s="82"/>
      <c r="T17" s="10"/>
      <c r="U17" s="10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16.5" x14ac:dyDescent="0.45">
      <c r="A18" s="27"/>
      <c r="B18" s="86"/>
      <c r="C18" s="10"/>
      <c r="D18" s="81"/>
      <c r="E18" s="10"/>
      <c r="F18" s="10"/>
      <c r="G18" s="10"/>
      <c r="H18" s="10"/>
      <c r="I18" s="10"/>
      <c r="J18" s="82"/>
      <c r="K18" s="10"/>
      <c r="L18" s="10"/>
      <c r="M18" s="10"/>
      <c r="N18" s="10"/>
      <c r="O18" s="10"/>
      <c r="P18" s="10"/>
      <c r="Q18" s="10"/>
      <c r="R18" s="10"/>
      <c r="S18" s="82"/>
      <c r="T18" s="10"/>
      <c r="U18" s="10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ht="16.5" x14ac:dyDescent="0.45">
      <c r="A19" s="27"/>
      <c r="B19" s="86"/>
      <c r="C19" s="10"/>
      <c r="D19" s="81"/>
      <c r="E19" s="10"/>
      <c r="F19" s="10"/>
      <c r="G19" s="10"/>
      <c r="H19" s="10"/>
      <c r="I19" s="10"/>
      <c r="J19" s="82"/>
      <c r="K19" s="10"/>
      <c r="L19" s="10"/>
      <c r="M19" s="10"/>
      <c r="N19" s="10"/>
      <c r="O19" s="10"/>
      <c r="P19" s="10"/>
      <c r="Q19" s="10"/>
      <c r="R19" s="10"/>
      <c r="S19" s="82"/>
      <c r="T19" s="10"/>
      <c r="U19" s="10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ht="14.25" x14ac:dyDescent="0.45">
      <c r="B20" s="83"/>
      <c r="C20" s="10"/>
      <c r="D20" s="84"/>
      <c r="E20" s="10"/>
      <c r="F20" s="10"/>
      <c r="G20" s="10"/>
      <c r="H20" s="10"/>
      <c r="I20" s="10"/>
      <c r="J20" s="85"/>
      <c r="K20" s="10"/>
      <c r="L20" s="10"/>
      <c r="M20" s="10"/>
      <c r="N20" s="10"/>
      <c r="O20" s="10"/>
      <c r="P20" s="10"/>
      <c r="Q20" s="10"/>
      <c r="R20" s="10"/>
      <c r="S20" s="85"/>
      <c r="T20" s="10"/>
      <c r="U20" s="10"/>
    </row>
    <row r="21" spans="1:46" ht="15.75" customHeight="1" x14ac:dyDescent="0.45">
      <c r="B21" s="83"/>
      <c r="C21" s="10"/>
      <c r="D21" s="84"/>
      <c r="E21" s="10"/>
      <c r="F21" s="10"/>
      <c r="G21" s="10"/>
      <c r="H21" s="10"/>
      <c r="I21" s="10"/>
      <c r="J21" s="85"/>
      <c r="K21" s="10"/>
      <c r="L21" s="10"/>
      <c r="M21" s="10"/>
      <c r="N21" s="10"/>
      <c r="O21" s="10"/>
      <c r="P21" s="10"/>
      <c r="Q21" s="10"/>
      <c r="R21" s="10"/>
      <c r="S21" s="85"/>
      <c r="T21" s="10"/>
      <c r="U21" s="10"/>
    </row>
    <row r="22" spans="1:46" ht="15.75" customHeight="1" x14ac:dyDescent="0.45">
      <c r="B22" s="83"/>
      <c r="C22" s="10"/>
      <c r="D22" s="84"/>
      <c r="E22" s="10"/>
      <c r="F22" s="10"/>
      <c r="G22" s="10"/>
      <c r="H22" s="10"/>
      <c r="I22" s="10"/>
      <c r="J22" s="85"/>
      <c r="K22" s="10"/>
      <c r="L22" s="10"/>
      <c r="M22" s="10"/>
      <c r="N22" s="10"/>
      <c r="O22" s="10"/>
      <c r="P22" s="10"/>
      <c r="Q22" s="10"/>
      <c r="R22" s="10"/>
      <c r="S22" s="85"/>
      <c r="T22" s="10"/>
      <c r="U22" s="10"/>
    </row>
    <row r="23" spans="1:46" ht="15.75" customHeight="1" x14ac:dyDescent="0.45">
      <c r="B23" s="83"/>
      <c r="C23" s="10"/>
      <c r="D23" s="84"/>
      <c r="E23" s="10"/>
      <c r="F23" s="10"/>
      <c r="G23" s="10"/>
      <c r="H23" s="10"/>
      <c r="I23" s="10"/>
      <c r="J23" s="85"/>
      <c r="K23" s="10"/>
      <c r="L23" s="10"/>
      <c r="M23" s="10"/>
      <c r="N23" s="10"/>
      <c r="O23" s="10"/>
      <c r="P23" s="10"/>
      <c r="Q23" s="10"/>
      <c r="R23" s="10"/>
      <c r="S23" s="85"/>
      <c r="T23" s="10"/>
      <c r="U23" s="10"/>
    </row>
    <row r="24" spans="1:46" ht="15.75" customHeight="1" x14ac:dyDescent="0.45">
      <c r="B24" s="83"/>
      <c r="C24" s="10"/>
      <c r="D24" s="84"/>
      <c r="E24" s="10"/>
      <c r="F24" s="10"/>
      <c r="G24" s="10"/>
      <c r="H24" s="10"/>
      <c r="I24" s="10"/>
      <c r="J24" s="85"/>
      <c r="K24" s="10"/>
      <c r="L24" s="10"/>
      <c r="M24" s="10"/>
      <c r="N24" s="10"/>
      <c r="O24" s="10"/>
      <c r="P24" s="10"/>
      <c r="Q24" s="10"/>
      <c r="R24" s="10"/>
      <c r="S24" s="85"/>
      <c r="T24" s="10"/>
      <c r="U24" s="10"/>
    </row>
    <row r="25" spans="1:46" ht="15.75" customHeight="1" x14ac:dyDescent="0.45">
      <c r="B25" s="83"/>
      <c r="C25" s="10"/>
      <c r="D25" s="84"/>
      <c r="E25" s="10"/>
      <c r="F25" s="10"/>
      <c r="G25" s="10"/>
      <c r="H25" s="10"/>
      <c r="I25" s="10"/>
      <c r="J25" s="85"/>
      <c r="K25" s="10"/>
      <c r="L25" s="10"/>
      <c r="M25" s="10"/>
      <c r="N25" s="10"/>
      <c r="O25" s="10"/>
      <c r="P25" s="10"/>
      <c r="Q25" s="10"/>
      <c r="R25" s="10"/>
      <c r="S25" s="85"/>
      <c r="T25" s="10"/>
      <c r="U25" s="10"/>
    </row>
    <row r="26" spans="1:46" ht="15.75" customHeight="1" x14ac:dyDescent="0.45">
      <c r="B26" s="83"/>
      <c r="C26" s="10"/>
      <c r="D26" s="84"/>
      <c r="E26" s="10"/>
      <c r="F26" s="10"/>
      <c r="G26" s="10"/>
      <c r="H26" s="10"/>
      <c r="I26" s="10"/>
      <c r="J26" s="85"/>
      <c r="K26" s="10"/>
      <c r="L26" s="10"/>
      <c r="M26" s="10"/>
      <c r="N26" s="10"/>
      <c r="O26" s="10"/>
      <c r="P26" s="10"/>
      <c r="Q26" s="10"/>
      <c r="R26" s="10"/>
      <c r="S26" s="85"/>
      <c r="T26" s="10"/>
      <c r="U26" s="10"/>
    </row>
    <row r="27" spans="1:46" ht="15.75" customHeight="1" x14ac:dyDescent="0.45">
      <c r="B27" s="83"/>
      <c r="C27" s="10"/>
      <c r="D27" s="84"/>
      <c r="E27" s="10"/>
      <c r="F27" s="10"/>
      <c r="G27" s="10"/>
      <c r="H27" s="10"/>
      <c r="I27" s="10"/>
      <c r="J27" s="85"/>
      <c r="K27" s="10"/>
      <c r="L27" s="10"/>
      <c r="M27" s="10"/>
      <c r="N27" s="10"/>
      <c r="O27" s="10"/>
      <c r="P27" s="10"/>
      <c r="Q27" s="10"/>
      <c r="R27" s="10"/>
      <c r="S27" s="85"/>
      <c r="T27" s="10"/>
      <c r="U27" s="10"/>
    </row>
    <row r="28" spans="1:46" ht="15.75" customHeight="1" x14ac:dyDescent="0.45">
      <c r="B28" s="83"/>
      <c r="C28" s="10"/>
      <c r="D28" s="84"/>
      <c r="E28" s="10"/>
      <c r="F28" s="10"/>
      <c r="G28" s="10"/>
      <c r="H28" s="10"/>
      <c r="I28" s="10"/>
      <c r="J28" s="85"/>
      <c r="K28" s="10"/>
      <c r="L28" s="10"/>
      <c r="M28" s="10"/>
      <c r="N28" s="10"/>
      <c r="O28" s="10"/>
      <c r="P28" s="10"/>
      <c r="Q28" s="10"/>
      <c r="R28" s="10"/>
      <c r="S28" s="85"/>
      <c r="T28" s="10"/>
      <c r="U28" s="10"/>
    </row>
    <row r="29" spans="1:46" ht="15.75" customHeight="1" x14ac:dyDescent="0.45">
      <c r="B29" s="83"/>
      <c r="C29" s="10"/>
      <c r="D29" s="84"/>
      <c r="E29" s="10"/>
      <c r="F29" s="10"/>
      <c r="G29" s="10"/>
      <c r="H29" s="10"/>
      <c r="I29" s="10"/>
      <c r="J29" s="85"/>
      <c r="K29" s="10"/>
      <c r="L29" s="10"/>
      <c r="M29" s="10"/>
      <c r="N29" s="10"/>
      <c r="O29" s="10"/>
      <c r="P29" s="10"/>
      <c r="Q29" s="10"/>
      <c r="R29" s="10"/>
      <c r="S29" s="85"/>
      <c r="T29" s="10"/>
      <c r="U29" s="10"/>
    </row>
    <row r="30" spans="1:46" ht="15.75" customHeight="1" x14ac:dyDescent="0.45">
      <c r="B30" s="83"/>
      <c r="C30" s="10"/>
      <c r="D30" s="84"/>
      <c r="E30" s="10"/>
      <c r="F30" s="10"/>
      <c r="G30" s="10"/>
      <c r="H30" s="10"/>
      <c r="I30" s="10"/>
      <c r="J30" s="85"/>
      <c r="K30" s="10"/>
      <c r="L30" s="10"/>
      <c r="M30" s="10"/>
      <c r="N30" s="10"/>
      <c r="O30" s="10"/>
      <c r="P30" s="10"/>
      <c r="Q30" s="10"/>
      <c r="R30" s="10"/>
      <c r="S30" s="85"/>
      <c r="T30" s="10"/>
      <c r="U30" s="10"/>
    </row>
    <row r="31" spans="1:46" ht="15.75" customHeight="1" x14ac:dyDescent="0.45">
      <c r="B31" s="83"/>
      <c r="C31" s="10"/>
      <c r="D31" s="84"/>
      <c r="E31" s="10"/>
      <c r="F31" s="10"/>
      <c r="G31" s="10"/>
      <c r="H31" s="10"/>
      <c r="I31" s="10"/>
      <c r="J31" s="85"/>
      <c r="K31" s="10"/>
      <c r="L31" s="10"/>
      <c r="M31" s="10"/>
      <c r="N31" s="10"/>
      <c r="O31" s="10"/>
      <c r="P31" s="10"/>
      <c r="Q31" s="10"/>
      <c r="R31" s="10"/>
      <c r="S31" s="85"/>
      <c r="T31" s="10"/>
      <c r="U31" s="10"/>
    </row>
    <row r="32" spans="1:46" ht="15.75" customHeight="1" x14ac:dyDescent="0.45">
      <c r="B32" s="83"/>
      <c r="C32" s="10"/>
      <c r="D32" s="84"/>
      <c r="E32" s="10"/>
      <c r="F32" s="10"/>
      <c r="G32" s="10"/>
      <c r="H32" s="10"/>
      <c r="I32" s="10"/>
      <c r="J32" s="85"/>
      <c r="K32" s="10"/>
      <c r="L32" s="10"/>
      <c r="M32" s="10"/>
      <c r="N32" s="10"/>
      <c r="O32" s="10"/>
      <c r="P32" s="10"/>
      <c r="Q32" s="10"/>
      <c r="R32" s="10"/>
      <c r="S32" s="85"/>
      <c r="T32" s="10"/>
      <c r="U32" s="10"/>
    </row>
    <row r="33" spans="2:21" ht="15.75" customHeight="1" x14ac:dyDescent="0.45">
      <c r="B33" s="83"/>
      <c r="C33" s="10"/>
      <c r="D33" s="84"/>
      <c r="E33" s="10"/>
      <c r="F33" s="10"/>
      <c r="G33" s="10"/>
      <c r="H33" s="10"/>
      <c r="I33" s="10"/>
      <c r="J33" s="85"/>
      <c r="K33" s="10"/>
      <c r="L33" s="10"/>
      <c r="M33" s="10"/>
      <c r="N33" s="10"/>
      <c r="O33" s="10"/>
      <c r="P33" s="10"/>
      <c r="Q33" s="10"/>
      <c r="R33" s="10"/>
      <c r="S33" s="85"/>
      <c r="T33" s="10"/>
      <c r="U33" s="10"/>
    </row>
    <row r="34" spans="2:21" ht="15.75" customHeight="1" x14ac:dyDescent="0.45">
      <c r="B34" s="83"/>
      <c r="C34" s="10"/>
      <c r="D34" s="84"/>
      <c r="E34" s="10"/>
      <c r="F34" s="10"/>
      <c r="G34" s="10"/>
      <c r="H34" s="10"/>
      <c r="I34" s="10"/>
      <c r="J34" s="85"/>
      <c r="K34" s="10"/>
      <c r="L34" s="10"/>
      <c r="M34" s="10"/>
      <c r="N34" s="10"/>
      <c r="O34" s="10"/>
      <c r="P34" s="10"/>
      <c r="Q34" s="10"/>
      <c r="R34" s="10"/>
      <c r="S34" s="85"/>
      <c r="T34" s="10"/>
      <c r="U34" s="10"/>
    </row>
    <row r="35" spans="2:21" ht="15.75" customHeight="1" x14ac:dyDescent="0.45">
      <c r="B35" s="83"/>
      <c r="C35" s="10"/>
      <c r="D35" s="84"/>
      <c r="E35" s="10"/>
      <c r="F35" s="10"/>
      <c r="G35" s="10"/>
      <c r="H35" s="10"/>
      <c r="I35" s="10"/>
      <c r="J35" s="85"/>
      <c r="K35" s="10"/>
      <c r="L35" s="10"/>
      <c r="M35" s="10"/>
      <c r="N35" s="10"/>
      <c r="O35" s="10"/>
      <c r="P35" s="10"/>
      <c r="Q35" s="10"/>
      <c r="R35" s="10"/>
      <c r="S35" s="85"/>
      <c r="T35" s="10"/>
      <c r="U35" s="10"/>
    </row>
    <row r="36" spans="2:21" ht="15.75" customHeight="1" x14ac:dyDescent="0.45">
      <c r="B36" s="83"/>
      <c r="C36" s="10"/>
      <c r="D36" s="84"/>
      <c r="E36" s="10"/>
      <c r="F36" s="10"/>
      <c r="G36" s="10"/>
      <c r="H36" s="10"/>
      <c r="I36" s="10"/>
      <c r="J36" s="85"/>
      <c r="K36" s="10"/>
      <c r="L36" s="10"/>
      <c r="M36" s="10"/>
      <c r="N36" s="10"/>
      <c r="O36" s="10"/>
      <c r="P36" s="10"/>
      <c r="Q36" s="10"/>
      <c r="R36" s="10"/>
      <c r="S36" s="85"/>
      <c r="T36" s="10"/>
      <c r="U36" s="10"/>
    </row>
    <row r="37" spans="2:21" ht="15.75" customHeight="1" x14ac:dyDescent="0.45">
      <c r="B37" s="83"/>
      <c r="C37" s="10"/>
      <c r="D37" s="84"/>
      <c r="E37" s="10"/>
      <c r="F37" s="10"/>
      <c r="G37" s="10"/>
      <c r="H37" s="10"/>
      <c r="I37" s="10"/>
      <c r="J37" s="85"/>
      <c r="K37" s="10"/>
      <c r="L37" s="10"/>
      <c r="M37" s="10"/>
      <c r="N37" s="10"/>
      <c r="O37" s="10"/>
      <c r="P37" s="10"/>
      <c r="Q37" s="10"/>
      <c r="R37" s="10"/>
      <c r="S37" s="85"/>
      <c r="T37" s="10"/>
      <c r="U37" s="10"/>
    </row>
    <row r="38" spans="2:21" ht="15.75" customHeight="1" x14ac:dyDescent="0.45"/>
    <row r="39" spans="2:21" ht="15.75" customHeight="1" x14ac:dyDescent="0.45"/>
    <row r="40" spans="2:21" ht="15.75" customHeight="1" x14ac:dyDescent="0.45"/>
    <row r="41" spans="2:21" ht="15.75" customHeight="1" x14ac:dyDescent="0.45"/>
    <row r="42" spans="2:21" ht="15.75" customHeight="1" x14ac:dyDescent="0.45"/>
    <row r="43" spans="2:21" ht="15.75" customHeight="1" x14ac:dyDescent="0.45"/>
    <row r="44" spans="2:21" ht="15.75" customHeight="1" x14ac:dyDescent="0.45"/>
    <row r="45" spans="2:21" ht="15.75" customHeight="1" x14ac:dyDescent="0.45"/>
    <row r="46" spans="2:21" ht="15.75" customHeight="1" x14ac:dyDescent="0.45"/>
    <row r="47" spans="2:21" ht="15.75" customHeight="1" x14ac:dyDescent="0.45"/>
    <row r="48" spans="2:21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35">
    <mergeCell ref="D36:I36"/>
    <mergeCell ref="J36:R36"/>
    <mergeCell ref="B37:C37"/>
    <mergeCell ref="D37:I37"/>
    <mergeCell ref="J37:R37"/>
    <mergeCell ref="S37:U37"/>
    <mergeCell ref="B35:C35"/>
    <mergeCell ref="D35:I35"/>
    <mergeCell ref="J35:R35"/>
    <mergeCell ref="S35:U35"/>
    <mergeCell ref="B36:C36"/>
    <mergeCell ref="S36:U36"/>
    <mergeCell ref="D14:I14"/>
    <mergeCell ref="J14:R14"/>
    <mergeCell ref="B15:C15"/>
    <mergeCell ref="D15:I15"/>
    <mergeCell ref="J15:R15"/>
    <mergeCell ref="S15:U15"/>
    <mergeCell ref="B16:C16"/>
    <mergeCell ref="S16:U16"/>
    <mergeCell ref="D16:I16"/>
    <mergeCell ref="J16:R16"/>
    <mergeCell ref="B17:C17"/>
    <mergeCell ref="D17:I17"/>
    <mergeCell ref="J17:R17"/>
    <mergeCell ref="S17:U17"/>
    <mergeCell ref="S18:U18"/>
    <mergeCell ref="J20:R20"/>
    <mergeCell ref="S20:U20"/>
    <mergeCell ref="B18:C18"/>
    <mergeCell ref="B32:C32"/>
    <mergeCell ref="D32:I32"/>
    <mergeCell ref="J32:R32"/>
    <mergeCell ref="S32:U32"/>
    <mergeCell ref="B33:C33"/>
    <mergeCell ref="D33:I33"/>
    <mergeCell ref="J33:R33"/>
    <mergeCell ref="S33:U33"/>
    <mergeCell ref="B34:C34"/>
    <mergeCell ref="S34:U34"/>
    <mergeCell ref="D34:I34"/>
    <mergeCell ref="J34:R34"/>
    <mergeCell ref="B29:C29"/>
    <mergeCell ref="D29:I29"/>
    <mergeCell ref="J29:R29"/>
    <mergeCell ref="S29:U29"/>
    <mergeCell ref="D30:I30"/>
    <mergeCell ref="J30:R30"/>
    <mergeCell ref="S30:U30"/>
    <mergeCell ref="B30:C30"/>
    <mergeCell ref="B31:C31"/>
    <mergeCell ref="D31:I31"/>
    <mergeCell ref="J31:R31"/>
    <mergeCell ref="S31:U31"/>
    <mergeCell ref="D26:I26"/>
    <mergeCell ref="J26:R26"/>
    <mergeCell ref="S26:U26"/>
    <mergeCell ref="J28:R28"/>
    <mergeCell ref="S28:U28"/>
    <mergeCell ref="B26:C26"/>
    <mergeCell ref="B27:C27"/>
    <mergeCell ref="D27:I27"/>
    <mergeCell ref="J27:R27"/>
    <mergeCell ref="S27:U27"/>
    <mergeCell ref="B28:C28"/>
    <mergeCell ref="D28:I28"/>
    <mergeCell ref="B23:C23"/>
    <mergeCell ref="D23:I23"/>
    <mergeCell ref="J23:R23"/>
    <mergeCell ref="S23:U23"/>
    <mergeCell ref="B24:C24"/>
    <mergeCell ref="D24:I24"/>
    <mergeCell ref="B25:C25"/>
    <mergeCell ref="D25:I25"/>
    <mergeCell ref="J25:R25"/>
    <mergeCell ref="S25:U25"/>
    <mergeCell ref="J24:R24"/>
    <mergeCell ref="S24:U24"/>
    <mergeCell ref="B13:C13"/>
    <mergeCell ref="D13:I13"/>
    <mergeCell ref="J13:R13"/>
    <mergeCell ref="S13:U13"/>
    <mergeCell ref="B14:C14"/>
    <mergeCell ref="S14:U14"/>
    <mergeCell ref="D18:I18"/>
    <mergeCell ref="J18:R18"/>
    <mergeCell ref="B22:C22"/>
    <mergeCell ref="B19:C19"/>
    <mergeCell ref="D19:I19"/>
    <mergeCell ref="J19:R19"/>
    <mergeCell ref="S19:U19"/>
    <mergeCell ref="B20:C20"/>
    <mergeCell ref="D20:I20"/>
    <mergeCell ref="B21:C21"/>
    <mergeCell ref="D21:I21"/>
    <mergeCell ref="J21:R21"/>
    <mergeCell ref="S21:U21"/>
    <mergeCell ref="D22:I22"/>
    <mergeCell ref="J22:R22"/>
    <mergeCell ref="S22:U22"/>
    <mergeCell ref="B10:C10"/>
    <mergeCell ref="S10:U10"/>
    <mergeCell ref="D10:I10"/>
    <mergeCell ref="J10:R10"/>
    <mergeCell ref="B11:C11"/>
    <mergeCell ref="D11:I11"/>
    <mergeCell ref="J11:R11"/>
    <mergeCell ref="S11:U11"/>
    <mergeCell ref="B12:C12"/>
    <mergeCell ref="S12:U12"/>
    <mergeCell ref="D12:I12"/>
    <mergeCell ref="J12:R12"/>
    <mergeCell ref="B7:C7"/>
    <mergeCell ref="D7:I7"/>
    <mergeCell ref="J7:R7"/>
    <mergeCell ref="S7:U7"/>
    <mergeCell ref="B8:C8"/>
    <mergeCell ref="S8:U8"/>
    <mergeCell ref="D8:I8"/>
    <mergeCell ref="J8:R8"/>
    <mergeCell ref="B9:C9"/>
    <mergeCell ref="D9:I9"/>
    <mergeCell ref="J9:R9"/>
    <mergeCell ref="S9:U9"/>
    <mergeCell ref="S5:U6"/>
    <mergeCell ref="V5:AT6"/>
    <mergeCell ref="A1:C3"/>
    <mergeCell ref="D1:J3"/>
    <mergeCell ref="K1:N3"/>
    <mergeCell ref="O1:U3"/>
    <mergeCell ref="V1:Y3"/>
    <mergeCell ref="Z1:AT3"/>
    <mergeCell ref="B5:C6"/>
    <mergeCell ref="D5:I6"/>
    <mergeCell ref="J5:R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U1000"/>
  <sheetViews>
    <sheetView showGridLines="0" workbookViewId="0">
      <selection sqref="A1:C3"/>
    </sheetView>
  </sheetViews>
  <sheetFormatPr defaultColWidth="14.3984375" defaultRowHeight="15" customHeight="1" x14ac:dyDescent="0.45"/>
  <cols>
    <col min="1" max="20" width="2.86328125" customWidth="1"/>
    <col min="21" max="21" width="24" customWidth="1"/>
    <col min="22" max="47" width="2.86328125" customWidth="1"/>
  </cols>
  <sheetData>
    <row r="1" spans="1:47" ht="14.25" x14ac:dyDescent="0.45">
      <c r="A1" s="14" t="s">
        <v>0</v>
      </c>
      <c r="B1" s="13"/>
      <c r="C1" s="12"/>
      <c r="D1" s="3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87" t="str">
        <f ca="1">MID(CELL("filename",A1),FIND("]",CELL("filename",A1))+1,255)</f>
        <v>TS.Content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2"/>
    </row>
    <row r="2" spans="1:47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8"/>
      <c r="P2" s="7"/>
      <c r="Q2" s="7"/>
      <c r="R2" s="7"/>
      <c r="S2" s="7"/>
      <c r="T2" s="7"/>
      <c r="U2" s="6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9"/>
    </row>
    <row r="3" spans="1:47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88" t="s">
        <v>23</v>
      </c>
      <c r="P3" s="65"/>
      <c r="Q3" s="65"/>
      <c r="R3" s="65"/>
      <c r="S3" s="65"/>
      <c r="T3" s="65"/>
      <c r="U3" s="6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6"/>
    </row>
    <row r="4" spans="1:47" ht="16.5" x14ac:dyDescent="0.45">
      <c r="A4" s="21"/>
      <c r="B4" s="21"/>
      <c r="C4" s="21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 spans="1:47" ht="16.5" x14ac:dyDescent="0.45">
      <c r="A5" s="20"/>
      <c r="B5" s="38" t="s">
        <v>24</v>
      </c>
      <c r="C5" s="39"/>
      <c r="D5" s="39"/>
      <c r="E5" s="40"/>
      <c r="F5" s="38" t="s">
        <v>25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A5" s="38" t="s">
        <v>26</v>
      </c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  <c r="AP5" s="20"/>
      <c r="AQ5" s="20"/>
      <c r="AR5" s="20"/>
      <c r="AS5" s="20"/>
      <c r="AT5" s="20"/>
      <c r="AU5" s="20"/>
    </row>
    <row r="6" spans="1:47" ht="16.5" x14ac:dyDescent="0.45">
      <c r="A6" s="20"/>
      <c r="B6" s="41" t="s">
        <v>27</v>
      </c>
      <c r="C6" s="20"/>
      <c r="D6" s="20"/>
      <c r="E6" s="42"/>
      <c r="F6" s="43" t="s">
        <v>28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42"/>
      <c r="AA6" s="32" t="s">
        <v>29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42"/>
      <c r="AP6" s="20"/>
      <c r="AQ6" s="20"/>
      <c r="AR6" s="20"/>
      <c r="AS6" s="20"/>
      <c r="AT6" s="20"/>
      <c r="AU6" s="20"/>
    </row>
    <row r="7" spans="1:47" ht="16.5" x14ac:dyDescent="0.45">
      <c r="A7" s="20"/>
      <c r="B7" s="41" t="s">
        <v>30</v>
      </c>
      <c r="C7" s="20"/>
      <c r="D7" s="20"/>
      <c r="E7" s="42"/>
      <c r="F7" s="44" t="s">
        <v>31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42"/>
      <c r="AA7" s="32" t="s">
        <v>32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42"/>
      <c r="AP7" s="20"/>
      <c r="AQ7" s="20"/>
      <c r="AR7" s="20"/>
      <c r="AS7" s="20"/>
      <c r="AT7" s="20"/>
      <c r="AU7" s="20"/>
    </row>
    <row r="8" spans="1:47" ht="16.5" x14ac:dyDescent="0.45">
      <c r="A8" s="20"/>
      <c r="B8" s="41" t="s">
        <v>33</v>
      </c>
      <c r="C8" s="20"/>
      <c r="D8" s="20"/>
      <c r="E8" s="20"/>
      <c r="F8" s="43" t="s">
        <v>34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42"/>
      <c r="AA8" s="32" t="s">
        <v>35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42"/>
      <c r="AP8" s="20"/>
      <c r="AQ8" s="20"/>
      <c r="AR8" s="20"/>
      <c r="AS8" s="20"/>
      <c r="AT8" s="20"/>
      <c r="AU8" s="20"/>
    </row>
    <row r="9" spans="1:47" ht="16.5" x14ac:dyDescent="0.45">
      <c r="A9" s="20"/>
      <c r="B9" s="45" t="s">
        <v>36</v>
      </c>
      <c r="C9" s="46"/>
      <c r="D9" s="46"/>
      <c r="E9" s="46"/>
      <c r="F9" s="47" t="s">
        <v>37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8"/>
      <c r="AA9" s="46" t="s">
        <v>38</v>
      </c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8"/>
      <c r="AP9" s="20"/>
      <c r="AQ9" s="20"/>
      <c r="AR9" s="20"/>
      <c r="AS9" s="20"/>
      <c r="AT9" s="20"/>
      <c r="AU9" s="20"/>
    </row>
    <row r="10" spans="1:47" ht="16.5" x14ac:dyDescent="0.4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ht="16.5" x14ac:dyDescent="0.4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</row>
    <row r="12" spans="1:47" ht="16.5" x14ac:dyDescent="0.4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">
    <mergeCell ref="Z1:AU3"/>
    <mergeCell ref="O3:U3"/>
    <mergeCell ref="A1:C3"/>
    <mergeCell ref="D1:J3"/>
    <mergeCell ref="K1:N3"/>
    <mergeCell ref="O1:U2"/>
    <mergeCell ref="V1:Y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T1000"/>
  <sheetViews>
    <sheetView showGridLines="0" workbookViewId="0">
      <selection sqref="A1:C3"/>
    </sheetView>
  </sheetViews>
  <sheetFormatPr defaultColWidth="14.3984375" defaultRowHeight="15" customHeight="1" x14ac:dyDescent="0.45"/>
  <cols>
    <col min="1" max="18" width="2.86328125" customWidth="1"/>
    <col min="19" max="19" width="16.1328125" customWidth="1"/>
    <col min="20" max="46" width="2.86328125" customWidth="1"/>
  </cols>
  <sheetData>
    <row r="1" spans="1:46" ht="14.25" x14ac:dyDescent="0.45">
      <c r="A1" s="14" t="s">
        <v>0</v>
      </c>
      <c r="B1" s="13"/>
      <c r="C1" s="12"/>
      <c r="D1" s="3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87" t="str">
        <f ca="1">MID(CELL("filename",A1),FIND("]",CELL("filename",A1))+1,255)</f>
        <v>TS.Overview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2"/>
      <c r="AK1" s="3"/>
      <c r="AL1" s="13"/>
      <c r="AM1" s="13"/>
      <c r="AN1" s="13"/>
      <c r="AO1" s="13"/>
      <c r="AP1" s="13"/>
      <c r="AQ1" s="13"/>
      <c r="AR1" s="13"/>
      <c r="AS1" s="13"/>
      <c r="AT1" s="12"/>
    </row>
    <row r="2" spans="1:46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8"/>
      <c r="P2" s="7"/>
      <c r="Q2" s="7"/>
      <c r="R2" s="7"/>
      <c r="S2" s="7"/>
      <c r="T2" s="7"/>
      <c r="U2" s="6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9"/>
      <c r="AK2" s="11"/>
      <c r="AL2" s="10"/>
      <c r="AM2" s="10"/>
      <c r="AN2" s="10"/>
      <c r="AO2" s="10"/>
      <c r="AP2" s="10"/>
      <c r="AQ2" s="10"/>
      <c r="AR2" s="10"/>
      <c r="AS2" s="10"/>
      <c r="AT2" s="9"/>
    </row>
    <row r="3" spans="1:46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88" t="s">
        <v>23</v>
      </c>
      <c r="P3" s="65"/>
      <c r="Q3" s="65"/>
      <c r="R3" s="65"/>
      <c r="S3" s="65"/>
      <c r="T3" s="65"/>
      <c r="U3" s="6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6"/>
    </row>
    <row r="4" spans="1:46" ht="16.5" x14ac:dyDescent="0.45">
      <c r="A4" s="21" t="s">
        <v>39</v>
      </c>
      <c r="B4" s="21"/>
      <c r="C4" s="21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6.5" x14ac:dyDescent="0.45">
      <c r="A5" s="20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spans="1:46" ht="16.5" x14ac:dyDescent="0.4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16.5" x14ac:dyDescent="0.45">
      <c r="A7" s="20"/>
      <c r="B7" s="20"/>
      <c r="C7" s="20"/>
      <c r="D7" s="20" t="s">
        <v>40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spans="1:46" ht="16.5" x14ac:dyDescent="0.45">
      <c r="A8" s="20"/>
      <c r="B8" s="20"/>
      <c r="C8" s="20"/>
      <c r="D8" s="89" t="s">
        <v>41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2"/>
    </row>
    <row r="9" spans="1:46" ht="16.5" x14ac:dyDescent="0.45">
      <c r="A9" s="20"/>
      <c r="B9" s="20"/>
      <c r="C9" s="20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6"/>
    </row>
    <row r="10" spans="1:46" ht="16.5" x14ac:dyDescent="0.45">
      <c r="A10" s="20"/>
      <c r="B10" s="20"/>
      <c r="C10" s="20"/>
      <c r="D10" s="49" t="s">
        <v>42</v>
      </c>
      <c r="E10" s="21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42"/>
      <c r="T10" s="41" t="s">
        <v>43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42"/>
    </row>
    <row r="11" spans="1:46" ht="16.5" x14ac:dyDescent="0.45">
      <c r="A11" s="20"/>
      <c r="B11" s="20"/>
      <c r="C11" s="20"/>
      <c r="D11" s="49" t="s">
        <v>44</v>
      </c>
      <c r="E11" s="21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42"/>
      <c r="T11" s="41" t="s">
        <v>45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42"/>
    </row>
    <row r="12" spans="1:46" ht="16.5" x14ac:dyDescent="0.45">
      <c r="A12" s="20"/>
      <c r="B12" s="20"/>
      <c r="C12" s="20"/>
      <c r="D12" s="49" t="s">
        <v>46</v>
      </c>
      <c r="E12" s="21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42"/>
      <c r="T12" s="41" t="s">
        <v>47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42"/>
    </row>
    <row r="13" spans="1:46" ht="16.5" x14ac:dyDescent="0.45">
      <c r="A13" s="20"/>
      <c r="B13" s="20"/>
      <c r="C13" s="20"/>
      <c r="D13" s="49" t="s">
        <v>48</v>
      </c>
      <c r="E13" s="21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42"/>
      <c r="T13" s="41" t="s">
        <v>49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42"/>
    </row>
    <row r="14" spans="1:46" ht="16.5" x14ac:dyDescent="0.45">
      <c r="A14" s="20"/>
      <c r="B14" s="20"/>
      <c r="C14" s="20"/>
      <c r="D14" s="49" t="s">
        <v>50</v>
      </c>
      <c r="E14" s="2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42"/>
      <c r="T14" s="32" t="s">
        <v>51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42"/>
    </row>
    <row r="15" spans="1:46" ht="16.5" x14ac:dyDescent="0.45">
      <c r="A15" s="20"/>
      <c r="B15" s="20"/>
      <c r="C15" s="20"/>
      <c r="D15" s="49" t="s">
        <v>52</v>
      </c>
      <c r="E15" s="21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42"/>
      <c r="T15" s="32" t="s">
        <v>53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42"/>
    </row>
    <row r="16" spans="1:46" ht="16.5" x14ac:dyDescent="0.45">
      <c r="A16" s="27"/>
      <c r="B16" s="27"/>
      <c r="C16" s="27"/>
      <c r="D16" s="49" t="s">
        <v>54</v>
      </c>
      <c r="E16" s="21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42"/>
      <c r="T16" s="41" t="s">
        <v>55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42"/>
    </row>
    <row r="17" spans="1:46" ht="16.5" x14ac:dyDescent="0.45">
      <c r="A17" s="27"/>
      <c r="B17" s="27"/>
      <c r="C17" s="27"/>
      <c r="D17" s="49" t="s">
        <v>56</v>
      </c>
      <c r="E17" s="2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42"/>
      <c r="T17" s="32" t="s">
        <v>57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42"/>
    </row>
    <row r="18" spans="1:46" ht="16.5" x14ac:dyDescent="0.45">
      <c r="A18" s="27"/>
      <c r="B18" s="27"/>
      <c r="C18" s="27"/>
      <c r="D18" s="49" t="s">
        <v>58</v>
      </c>
      <c r="E18" s="2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42"/>
      <c r="T18" s="32" t="s">
        <v>59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42"/>
    </row>
    <row r="19" spans="1:46" ht="16.5" x14ac:dyDescent="0.45">
      <c r="A19" s="27"/>
      <c r="B19" s="27"/>
      <c r="C19" s="27"/>
      <c r="D19" s="50" t="s">
        <v>60</v>
      </c>
      <c r="E19" s="51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8"/>
      <c r="T19" s="52" t="s">
        <v>59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8"/>
    </row>
    <row r="20" spans="1:46" ht="16.5" x14ac:dyDescent="0.4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ht="15.75" customHeight="1" x14ac:dyDescent="0.4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ht="15.75" customHeight="1" x14ac:dyDescent="0.45"/>
    <row r="23" spans="1:46" ht="15.75" customHeight="1" x14ac:dyDescent="0.45"/>
    <row r="24" spans="1:46" ht="15.75" customHeight="1" x14ac:dyDescent="0.45"/>
    <row r="25" spans="1:46" ht="15.75" customHeight="1" x14ac:dyDescent="0.45"/>
    <row r="26" spans="1:46" ht="15.75" customHeight="1" x14ac:dyDescent="0.45"/>
    <row r="27" spans="1:46" ht="15.75" customHeight="1" x14ac:dyDescent="0.45"/>
    <row r="28" spans="1:46" ht="15.75" customHeight="1" x14ac:dyDescent="0.45"/>
    <row r="29" spans="1:46" ht="15.75" customHeight="1" x14ac:dyDescent="0.45"/>
    <row r="30" spans="1:46" ht="15.75" customHeight="1" x14ac:dyDescent="0.45"/>
    <row r="31" spans="1:46" ht="15.75" customHeight="1" x14ac:dyDescent="0.45"/>
    <row r="32" spans="1:46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9">
    <mergeCell ref="O3:U3"/>
    <mergeCell ref="D8:AT9"/>
    <mergeCell ref="A1:C3"/>
    <mergeCell ref="D1:J3"/>
    <mergeCell ref="K1:N3"/>
    <mergeCell ref="O1:U2"/>
    <mergeCell ref="V1:Y3"/>
    <mergeCell ref="Z1:AJ3"/>
    <mergeCell ref="AK1:AT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T1000"/>
  <sheetViews>
    <sheetView showGridLines="0" workbookViewId="0">
      <selection sqref="A1:C3"/>
    </sheetView>
  </sheetViews>
  <sheetFormatPr defaultColWidth="14.3984375" defaultRowHeight="15" customHeight="1" x14ac:dyDescent="0.45"/>
  <cols>
    <col min="1" max="3" width="2.86328125" customWidth="1"/>
    <col min="4" max="4" width="3.3984375" customWidth="1"/>
    <col min="5" max="7" width="2.86328125" customWidth="1"/>
    <col min="8" max="8" width="6.3984375" customWidth="1"/>
    <col min="9" max="14" width="2.86328125" customWidth="1"/>
    <col min="15" max="15" width="17.3984375" customWidth="1"/>
    <col min="16" max="17" width="2.86328125" customWidth="1"/>
    <col min="18" max="18" width="3.73046875" customWidth="1"/>
    <col min="19" max="46" width="2.86328125" customWidth="1"/>
  </cols>
  <sheetData>
    <row r="1" spans="1:46" ht="14.25" x14ac:dyDescent="0.45">
      <c r="A1" s="14" t="s">
        <v>0</v>
      </c>
      <c r="B1" s="13"/>
      <c r="C1" s="12"/>
      <c r="D1" s="3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90" t="str">
        <f ca="1">MID(CELL("filename",A1),FIND("]",CELL("filename",A1))+1,255)</f>
        <v>TS.Technical Details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2"/>
      <c r="AK1" s="3"/>
      <c r="AL1" s="13"/>
      <c r="AM1" s="13"/>
      <c r="AN1" s="13"/>
      <c r="AO1" s="13"/>
      <c r="AP1" s="13"/>
      <c r="AQ1" s="13"/>
      <c r="AR1" s="13"/>
      <c r="AS1" s="13"/>
      <c r="AT1" s="13"/>
    </row>
    <row r="2" spans="1:46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8"/>
      <c r="P2" s="7"/>
      <c r="Q2" s="7"/>
      <c r="R2" s="7"/>
      <c r="S2" s="7"/>
      <c r="T2" s="7"/>
      <c r="U2" s="6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9"/>
      <c r="AK2" s="11"/>
      <c r="AL2" s="10"/>
      <c r="AM2" s="10"/>
      <c r="AN2" s="10"/>
      <c r="AO2" s="10"/>
      <c r="AP2" s="10"/>
      <c r="AQ2" s="10"/>
      <c r="AR2" s="10"/>
      <c r="AS2" s="10"/>
      <c r="AT2" s="10"/>
    </row>
    <row r="3" spans="1:46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91" t="s">
        <v>23</v>
      </c>
      <c r="P3" s="65"/>
      <c r="Q3" s="65"/>
      <c r="R3" s="65"/>
      <c r="S3" s="65"/>
      <c r="T3" s="65"/>
      <c r="U3" s="6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7"/>
    </row>
    <row r="4" spans="1:46" ht="16.5" x14ac:dyDescent="0.45">
      <c r="A4" s="53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5"/>
      <c r="AS4" s="55"/>
      <c r="AT4" s="55"/>
    </row>
    <row r="5" spans="1:46" ht="21.75" customHeight="1" x14ac:dyDescent="0.45">
      <c r="A5" s="56" t="s">
        <v>61</v>
      </c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5"/>
      <c r="AS5" s="55"/>
      <c r="AT5" s="55"/>
    </row>
    <row r="6" spans="1:46" ht="16.5" x14ac:dyDescent="0.45">
      <c r="A6" s="54"/>
      <c r="B6" s="54"/>
      <c r="C6" s="53" t="s">
        <v>62</v>
      </c>
      <c r="D6" s="27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27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55"/>
      <c r="AT6" s="55"/>
    </row>
    <row r="7" spans="1:46" ht="16.5" x14ac:dyDescent="0.45">
      <c r="A7" s="54"/>
      <c r="B7" s="54"/>
      <c r="C7" s="53"/>
      <c r="D7" s="27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27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5"/>
      <c r="AS7" s="55"/>
      <c r="AT7" s="55"/>
    </row>
    <row r="8" spans="1:46" ht="16.5" x14ac:dyDescent="0.45">
      <c r="A8" s="54"/>
      <c r="B8" s="54"/>
      <c r="C8" s="54" t="s">
        <v>63</v>
      </c>
      <c r="D8" s="2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20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5"/>
      <c r="AS8" s="55"/>
      <c r="AT8" s="55"/>
    </row>
    <row r="9" spans="1:46" ht="16.5" x14ac:dyDescent="0.45">
      <c r="A9" s="54"/>
      <c r="B9" s="54"/>
      <c r="C9" s="54" t="s">
        <v>64</v>
      </c>
      <c r="D9" s="2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20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5"/>
      <c r="AS9" s="55"/>
      <c r="AT9" s="55"/>
    </row>
    <row r="10" spans="1:46" ht="16.5" x14ac:dyDescent="0.45">
      <c r="A10" s="54"/>
      <c r="B10" s="54"/>
      <c r="C10" s="54" t="s">
        <v>65</v>
      </c>
      <c r="D10" s="2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20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5"/>
      <c r="AS10" s="55"/>
      <c r="AT10" s="55"/>
    </row>
    <row r="11" spans="1:46" ht="16.5" x14ac:dyDescent="0.45">
      <c r="A11" s="54"/>
      <c r="B11" s="54"/>
      <c r="C11" s="54" t="s">
        <v>66</v>
      </c>
      <c r="D11" s="2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20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5"/>
      <c r="AS11" s="55"/>
      <c r="AT11" s="55"/>
    </row>
    <row r="12" spans="1:46" ht="16.5" x14ac:dyDescent="0.45">
      <c r="A12" s="54"/>
      <c r="B12" s="54"/>
      <c r="C12" s="54" t="s">
        <v>67</v>
      </c>
      <c r="D12" s="2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20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5"/>
      <c r="AS12" s="55"/>
      <c r="AT12" s="55"/>
    </row>
    <row r="13" spans="1:46" ht="16.5" x14ac:dyDescent="0.45">
      <c r="A13" s="54"/>
      <c r="B13" s="54"/>
      <c r="C13" s="54" t="s">
        <v>68</v>
      </c>
      <c r="D13" s="2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20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5"/>
      <c r="AS13" s="55"/>
      <c r="AT13" s="55"/>
    </row>
    <row r="14" spans="1:46" ht="16.5" x14ac:dyDescent="0.45">
      <c r="A14" s="54"/>
      <c r="B14" s="54"/>
      <c r="C14" s="54" t="s">
        <v>69</v>
      </c>
      <c r="D14" s="2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20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5"/>
      <c r="AS14" s="55"/>
      <c r="AT14" s="55"/>
    </row>
    <row r="15" spans="1:46" ht="16.5" x14ac:dyDescent="0.45">
      <c r="A15" s="54"/>
      <c r="B15" s="54"/>
      <c r="C15" s="54" t="s">
        <v>70</v>
      </c>
      <c r="D15" s="2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20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5"/>
      <c r="AS15" s="55"/>
      <c r="AT15" s="55"/>
    </row>
    <row r="16" spans="1:46" ht="16.5" x14ac:dyDescent="0.45">
      <c r="A16" s="54"/>
      <c r="B16" s="54"/>
      <c r="C16" s="54" t="s">
        <v>71</v>
      </c>
      <c r="D16" s="2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20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5"/>
      <c r="AS16" s="55"/>
      <c r="AT16" s="55"/>
    </row>
    <row r="17" spans="1:46" ht="16.5" x14ac:dyDescent="0.45">
      <c r="A17" s="54"/>
      <c r="B17" s="54"/>
      <c r="C17" s="54" t="s">
        <v>72</v>
      </c>
      <c r="D17" s="20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20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  <c r="AS17" s="55"/>
      <c r="AT17" s="55"/>
    </row>
    <row r="18" spans="1:46" ht="16.5" x14ac:dyDescent="0.45">
      <c r="A18" s="54"/>
      <c r="B18" s="54"/>
      <c r="C18" s="54"/>
      <c r="D18" s="20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20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  <c r="AS18" s="55"/>
      <c r="AT18" s="55"/>
    </row>
    <row r="19" spans="1:46" ht="16.5" x14ac:dyDescent="0.45">
      <c r="A19" s="54"/>
      <c r="B19" s="54"/>
      <c r="C19" s="54"/>
      <c r="D19" s="2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20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5"/>
      <c r="AS19" s="55"/>
      <c r="AT19" s="55"/>
    </row>
    <row r="20" spans="1:46" ht="16.5" x14ac:dyDescent="0.45">
      <c r="A20" s="54"/>
      <c r="B20" s="54"/>
      <c r="C20" s="54"/>
      <c r="D20" s="20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20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5"/>
      <c r="AS20" s="55"/>
      <c r="AT20" s="55"/>
    </row>
    <row r="21" spans="1:46" ht="15.75" customHeight="1" x14ac:dyDescent="0.45">
      <c r="A21" s="54"/>
      <c r="B21" s="54"/>
      <c r="C21" s="54"/>
      <c r="D21" s="20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20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5"/>
      <c r="AS21" s="55"/>
      <c r="AT21" s="55"/>
    </row>
    <row r="22" spans="1:46" ht="15.75" customHeight="1" x14ac:dyDescent="0.45">
      <c r="A22" s="54"/>
      <c r="B22" s="54"/>
      <c r="C22" s="54"/>
      <c r="D22" s="20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20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5"/>
      <c r="AS22" s="55"/>
      <c r="AT22" s="55"/>
    </row>
    <row r="23" spans="1:46" ht="15.75" customHeight="1" x14ac:dyDescent="0.45">
      <c r="A23" s="54"/>
      <c r="B23" s="54"/>
      <c r="C23" s="54"/>
      <c r="D23" s="20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20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5"/>
      <c r="AS23" s="55"/>
      <c r="AT23" s="55"/>
    </row>
    <row r="24" spans="1:46" ht="15.75" customHeight="1" x14ac:dyDescent="0.45">
      <c r="A24" s="54"/>
      <c r="B24" s="54"/>
      <c r="C24" s="54"/>
      <c r="D24" s="20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20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  <c r="AS24" s="55"/>
      <c r="AT24" s="55"/>
    </row>
    <row r="25" spans="1:46" ht="15.75" customHeight="1" x14ac:dyDescent="0.45">
      <c r="A25" s="54"/>
      <c r="B25" s="54"/>
      <c r="C25" s="54"/>
      <c r="D25" s="20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20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  <c r="AS25" s="55"/>
      <c r="AT25" s="55"/>
    </row>
    <row r="26" spans="1:46" ht="15.75" customHeight="1" x14ac:dyDescent="0.45">
      <c r="A26" s="54"/>
      <c r="B26" s="54"/>
      <c r="C26" s="54"/>
      <c r="D26" s="20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20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5"/>
      <c r="AS26" s="55"/>
      <c r="AT26" s="55"/>
    </row>
    <row r="27" spans="1:46" ht="15.75" customHeight="1" x14ac:dyDescent="0.45">
      <c r="A27" s="27"/>
      <c r="B27" s="27"/>
      <c r="C27" s="20"/>
      <c r="D27" s="20"/>
      <c r="E27" s="54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7"/>
      <c r="AK27" s="27"/>
      <c r="AL27" s="27"/>
      <c r="AM27" s="27"/>
      <c r="AN27" s="27"/>
      <c r="AO27" s="27"/>
      <c r="AP27" s="27"/>
      <c r="AQ27" s="27"/>
    </row>
    <row r="28" spans="1:46" ht="15.75" customHeight="1" x14ac:dyDescent="0.45">
      <c r="A28" s="27"/>
      <c r="B28" s="27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7"/>
      <c r="AK28" s="27"/>
      <c r="AL28" s="27"/>
      <c r="AM28" s="27"/>
      <c r="AN28" s="27"/>
      <c r="AO28" s="27"/>
      <c r="AP28" s="27"/>
      <c r="AQ28" s="27"/>
    </row>
    <row r="29" spans="1:46" ht="33.75" customHeight="1" x14ac:dyDescent="0.45">
      <c r="A29" s="27"/>
      <c r="B29" s="27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7"/>
      <c r="AK29" s="27"/>
      <c r="AL29" s="27"/>
      <c r="AM29" s="27"/>
      <c r="AN29" s="27"/>
      <c r="AO29" s="27"/>
      <c r="AP29" s="27"/>
      <c r="AQ29" s="27"/>
    </row>
    <row r="30" spans="1:46" ht="30.75" customHeight="1" x14ac:dyDescent="0.45">
      <c r="A30" s="27"/>
      <c r="B30" s="27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7"/>
      <c r="AK30" s="27"/>
      <c r="AL30" s="27"/>
      <c r="AM30" s="27"/>
      <c r="AN30" s="27"/>
      <c r="AO30" s="27"/>
      <c r="AP30" s="27"/>
      <c r="AQ30" s="27"/>
    </row>
    <row r="31" spans="1:46" ht="15.75" customHeight="1" x14ac:dyDescent="0.45">
      <c r="A31" s="27"/>
      <c r="B31" s="27"/>
      <c r="C31" s="53" t="s">
        <v>73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spans="1:46" ht="15.75" customHeight="1" x14ac:dyDescent="0.4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</row>
    <row r="33" spans="1:46" ht="15.75" customHeight="1" x14ac:dyDescent="0.45">
      <c r="A33" s="27"/>
      <c r="B33" s="27"/>
      <c r="C33" s="27" t="s">
        <v>74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spans="1:46" ht="15.75" customHeight="1" x14ac:dyDescent="0.45">
      <c r="A34" s="27"/>
      <c r="B34" s="27"/>
      <c r="C34" s="27" t="s">
        <v>75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spans="1:46" ht="15.75" customHeight="1" x14ac:dyDescent="0.45">
      <c r="A35" s="27"/>
      <c r="B35" s="27"/>
      <c r="C35" s="27" t="s">
        <v>76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spans="1:46" ht="15.75" customHeight="1" x14ac:dyDescent="0.45">
      <c r="A36" s="27"/>
      <c r="B36" s="27"/>
      <c r="C36" s="27" t="s">
        <v>77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spans="1:46" ht="15.75" customHeight="1" x14ac:dyDescent="0.45">
      <c r="A37" s="27"/>
      <c r="B37" s="27"/>
      <c r="C37" s="27" t="s">
        <v>78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</row>
    <row r="38" spans="1:46" ht="15.75" customHeight="1" x14ac:dyDescent="0.4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spans="1:46" ht="15.75" customHeight="1" x14ac:dyDescent="0.4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spans="1:46" ht="15.75" customHeight="1" x14ac:dyDescent="0.45">
      <c r="A40" s="27"/>
      <c r="B40" s="27"/>
      <c r="C40" s="53" t="s">
        <v>79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6" ht="15.75" customHeight="1" x14ac:dyDescent="0.4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1:46" ht="15.75" customHeight="1" x14ac:dyDescent="0.45">
      <c r="A42" s="27"/>
      <c r="B42" s="27"/>
      <c r="C42" s="70" t="s">
        <v>80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  <c r="O42" s="70" t="s">
        <v>81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6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1:46" ht="51" customHeight="1" x14ac:dyDescent="0.45">
      <c r="A43" s="20"/>
      <c r="B43" s="20"/>
      <c r="C43" s="92" t="s">
        <v>82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  <c r="O43" s="93" t="s">
        <v>83</v>
      </c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6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9"/>
      <c r="AS43" s="29"/>
      <c r="AT43" s="29"/>
    </row>
    <row r="44" spans="1:46" ht="51" customHeight="1" x14ac:dyDescent="0.45">
      <c r="A44" s="27"/>
      <c r="B44" s="27"/>
      <c r="C44" s="92" t="s">
        <v>84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6"/>
      <c r="O44" s="92" t="s">
        <v>85</v>
      </c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6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spans="1:46" ht="51" customHeight="1" x14ac:dyDescent="0.45">
      <c r="A45" s="27"/>
      <c r="B45" s="27"/>
      <c r="C45" s="94" t="s">
        <v>86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6"/>
      <c r="O45" s="94" t="s">
        <v>87</v>
      </c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6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1:46" ht="51" customHeight="1" x14ac:dyDescent="0.45">
      <c r="A46" s="27"/>
      <c r="B46" s="27"/>
      <c r="C46" s="94" t="s">
        <v>88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6"/>
      <c r="O46" s="94" t="s">
        <v>89</v>
      </c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6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spans="1:46" ht="57.75" customHeight="1" x14ac:dyDescent="0.45">
      <c r="A47" s="27"/>
      <c r="B47" s="27"/>
      <c r="C47" s="94" t="s">
        <v>90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6"/>
      <c r="O47" s="94" t="s">
        <v>91</v>
      </c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6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1:46" ht="50.25" customHeight="1" x14ac:dyDescent="0.45">
      <c r="A48" s="27"/>
      <c r="B48" s="27"/>
      <c r="C48" s="94" t="s">
        <v>92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6"/>
      <c r="O48" s="94" t="s">
        <v>93</v>
      </c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6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spans="1:43" ht="45" customHeight="1" x14ac:dyDescent="0.45">
      <c r="A49" s="27"/>
      <c r="B49" s="27"/>
      <c r="C49" s="94" t="s">
        <v>94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6"/>
      <c r="O49" s="94" t="s">
        <v>95</v>
      </c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6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spans="1:43" ht="15.75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1:43" ht="15.75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spans="1:43" ht="15.75" customHeight="1" x14ac:dyDescent="0.45">
      <c r="A52" s="27"/>
      <c r="B52" s="27"/>
      <c r="C52" s="53" t="s">
        <v>96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spans="1:43" ht="15.75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spans="1:43" ht="15.75" customHeight="1" x14ac:dyDescent="0.45">
      <c r="A54" s="27"/>
      <c r="B54" s="27"/>
      <c r="C54" s="70" t="s">
        <v>97</v>
      </c>
      <c r="D54" s="65"/>
      <c r="E54" s="65"/>
      <c r="F54" s="65"/>
      <c r="G54" s="65"/>
      <c r="H54" s="65"/>
      <c r="I54" s="65"/>
      <c r="J54" s="65"/>
      <c r="K54" s="66"/>
      <c r="L54" s="70" t="s">
        <v>81</v>
      </c>
      <c r="M54" s="65"/>
      <c r="N54" s="65"/>
      <c r="O54" s="65"/>
      <c r="P54" s="65"/>
      <c r="Q54" s="65"/>
      <c r="R54" s="65"/>
      <c r="S54" s="65"/>
      <c r="T54" s="65"/>
      <c r="U54" s="66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spans="1:43" ht="15.75" customHeight="1" x14ac:dyDescent="0.45">
      <c r="A55" s="27"/>
      <c r="B55" s="27"/>
      <c r="C55" s="94" t="s">
        <v>98</v>
      </c>
      <c r="D55" s="65"/>
      <c r="E55" s="65"/>
      <c r="F55" s="65"/>
      <c r="G55" s="65"/>
      <c r="H55" s="65"/>
      <c r="I55" s="65"/>
      <c r="J55" s="65"/>
      <c r="K55" s="66"/>
      <c r="L55" s="94" t="s">
        <v>99</v>
      </c>
      <c r="M55" s="65"/>
      <c r="N55" s="65"/>
      <c r="O55" s="65"/>
      <c r="P55" s="65"/>
      <c r="Q55" s="65"/>
      <c r="R55" s="65"/>
      <c r="S55" s="65"/>
      <c r="T55" s="65"/>
      <c r="U55" s="66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spans="1:43" ht="48" customHeight="1" x14ac:dyDescent="0.45">
      <c r="A56" s="27"/>
      <c r="B56" s="27"/>
      <c r="C56" s="94" t="s">
        <v>100</v>
      </c>
      <c r="D56" s="65"/>
      <c r="E56" s="65"/>
      <c r="F56" s="65"/>
      <c r="G56" s="65"/>
      <c r="H56" s="65"/>
      <c r="I56" s="65"/>
      <c r="J56" s="65"/>
      <c r="K56" s="66"/>
      <c r="L56" s="94" t="s">
        <v>101</v>
      </c>
      <c r="M56" s="65"/>
      <c r="N56" s="65"/>
      <c r="O56" s="65"/>
      <c r="P56" s="65"/>
      <c r="Q56" s="65"/>
      <c r="R56" s="65"/>
      <c r="S56" s="65"/>
      <c r="T56" s="65"/>
      <c r="U56" s="66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spans="1:43" ht="29.25" customHeight="1" x14ac:dyDescent="0.45">
      <c r="A57" s="27"/>
      <c r="B57" s="27"/>
      <c r="C57" s="94" t="s">
        <v>102</v>
      </c>
      <c r="D57" s="65"/>
      <c r="E57" s="65"/>
      <c r="F57" s="65"/>
      <c r="G57" s="65"/>
      <c r="H57" s="65"/>
      <c r="I57" s="65"/>
      <c r="J57" s="65"/>
      <c r="K57" s="66"/>
      <c r="L57" s="94" t="s">
        <v>103</v>
      </c>
      <c r="M57" s="65"/>
      <c r="N57" s="65"/>
      <c r="O57" s="65"/>
      <c r="P57" s="65"/>
      <c r="Q57" s="65"/>
      <c r="R57" s="65"/>
      <c r="S57" s="65"/>
      <c r="T57" s="65"/>
      <c r="U57" s="66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spans="1:43" ht="15.75" customHeight="1" x14ac:dyDescent="0.4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spans="1:43" ht="15.75" customHeight="1" x14ac:dyDescent="0.4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spans="1:43" ht="15.75" customHeight="1" x14ac:dyDescent="0.45">
      <c r="A60" s="27"/>
      <c r="B60" s="27"/>
      <c r="C60" s="53" t="s">
        <v>104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spans="1:43" ht="15.75" customHeight="1" x14ac:dyDescent="0.4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spans="1:43" ht="15.75" customHeight="1" x14ac:dyDescent="0.45">
      <c r="A62" s="27"/>
      <c r="B62" s="27"/>
      <c r="C62" s="70" t="s">
        <v>105</v>
      </c>
      <c r="D62" s="65"/>
      <c r="E62" s="65"/>
      <c r="F62" s="65"/>
      <c r="G62" s="65"/>
      <c r="H62" s="65"/>
      <c r="I62" s="65"/>
      <c r="J62" s="66"/>
      <c r="K62" s="70" t="s">
        <v>81</v>
      </c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6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spans="1:43" ht="15.75" customHeight="1" x14ac:dyDescent="0.45">
      <c r="A63" s="27"/>
      <c r="B63" s="27"/>
      <c r="C63" s="71" t="s">
        <v>106</v>
      </c>
      <c r="D63" s="65"/>
      <c r="E63" s="65"/>
      <c r="F63" s="65"/>
      <c r="G63" s="65"/>
      <c r="H63" s="65"/>
      <c r="I63" s="65"/>
      <c r="J63" s="66"/>
      <c r="K63" s="71" t="s">
        <v>107</v>
      </c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6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spans="1:43" ht="15.75" customHeight="1" x14ac:dyDescent="0.4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spans="1:43" ht="15.75" customHeight="1" x14ac:dyDescent="0.45">
      <c r="A65" s="27"/>
      <c r="B65" s="27"/>
      <c r="C65" s="53" t="s">
        <v>108</v>
      </c>
      <c r="D65" s="57"/>
      <c r="E65" s="58"/>
      <c r="F65" s="58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spans="1:43" ht="15.75" customHeight="1" x14ac:dyDescent="0.4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spans="1:43" ht="15.75" customHeight="1" x14ac:dyDescent="0.45">
      <c r="A67" s="27"/>
      <c r="B67" s="27"/>
      <c r="C67" s="27" t="s">
        <v>109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spans="1:43" ht="15.75" customHeight="1" x14ac:dyDescent="0.45">
      <c r="A68" s="27"/>
      <c r="B68" s="27"/>
      <c r="C68" s="27" t="s">
        <v>110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spans="1:43" ht="15.75" customHeight="1" x14ac:dyDescent="0.45">
      <c r="A69" s="27"/>
      <c r="B69" s="27"/>
      <c r="C69" s="27" t="s">
        <v>111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</row>
    <row r="70" spans="1:43" ht="15.75" customHeight="1" x14ac:dyDescent="0.45">
      <c r="A70" s="27"/>
      <c r="B70" s="27"/>
      <c r="C70" s="27" t="s">
        <v>112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</row>
    <row r="71" spans="1:43" ht="15.75" customHeight="1" x14ac:dyDescent="0.4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spans="1:43" ht="15.75" customHeight="1" x14ac:dyDescent="0.4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</row>
    <row r="73" spans="1:43" ht="15.75" customHeight="1" x14ac:dyDescent="0.4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spans="1:43" ht="15.75" customHeight="1" x14ac:dyDescent="0.4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</row>
    <row r="75" spans="1:43" ht="15.75" customHeight="1" x14ac:dyDescent="0.4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</row>
    <row r="76" spans="1:43" ht="15.75" customHeight="1" x14ac:dyDescent="0.4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</row>
    <row r="77" spans="1:43" ht="15.75" customHeight="1" x14ac:dyDescent="0.4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</row>
    <row r="78" spans="1:43" ht="15.75" customHeight="1" x14ac:dyDescent="0.4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</row>
    <row r="79" spans="1:43" ht="15.75" customHeight="1" x14ac:dyDescent="0.45"/>
    <row r="80" spans="1:43" ht="15.75" customHeight="1" x14ac:dyDescent="0.45"/>
    <row r="81" spans="3:3" ht="15.75" customHeight="1" x14ac:dyDescent="0.45"/>
    <row r="82" spans="3:3" ht="15.75" customHeight="1" x14ac:dyDescent="0.45"/>
    <row r="83" spans="3:3" ht="15.75" customHeight="1" x14ac:dyDescent="0.45"/>
    <row r="84" spans="3:3" ht="15.75" customHeight="1" x14ac:dyDescent="0.45">
      <c r="C84" s="59"/>
    </row>
    <row r="85" spans="3:3" ht="15.75" customHeight="1" x14ac:dyDescent="0.45">
      <c r="C85" s="59"/>
    </row>
    <row r="86" spans="3:3" ht="15.75" customHeight="1" x14ac:dyDescent="0.45">
      <c r="C86" s="59"/>
    </row>
    <row r="87" spans="3:3" ht="15.75" customHeight="1" x14ac:dyDescent="0.45"/>
    <row r="88" spans="3:3" ht="15.75" customHeight="1" x14ac:dyDescent="0.45"/>
    <row r="89" spans="3:3" ht="15.75" customHeight="1" x14ac:dyDescent="0.45"/>
    <row r="90" spans="3:3" ht="15.75" customHeight="1" x14ac:dyDescent="0.45"/>
    <row r="91" spans="3:3" ht="15.75" customHeight="1" x14ac:dyDescent="0.45"/>
    <row r="92" spans="3:3" ht="15.75" customHeight="1" x14ac:dyDescent="0.45"/>
    <row r="93" spans="3:3" ht="15.75" customHeight="1" x14ac:dyDescent="0.45"/>
    <row r="94" spans="3:3" ht="15.75" customHeight="1" x14ac:dyDescent="0.45"/>
    <row r="95" spans="3:3" ht="15.75" customHeight="1" x14ac:dyDescent="0.45"/>
    <row r="96" spans="3:3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36">
    <mergeCell ref="C63:J63"/>
    <mergeCell ref="K63:AF63"/>
    <mergeCell ref="C48:N48"/>
    <mergeCell ref="C49:N49"/>
    <mergeCell ref="C54:K54"/>
    <mergeCell ref="L54:U54"/>
    <mergeCell ref="C55:K55"/>
    <mergeCell ref="L55:U55"/>
    <mergeCell ref="L56:U56"/>
    <mergeCell ref="L57:U57"/>
    <mergeCell ref="O49:AF49"/>
    <mergeCell ref="C56:K56"/>
    <mergeCell ref="C57:K57"/>
    <mergeCell ref="C62:J62"/>
    <mergeCell ref="K62:AF62"/>
    <mergeCell ref="C46:N46"/>
    <mergeCell ref="O46:AF46"/>
    <mergeCell ref="C47:N47"/>
    <mergeCell ref="O47:AF47"/>
    <mergeCell ref="O48:AF48"/>
    <mergeCell ref="C43:N43"/>
    <mergeCell ref="O43:AF43"/>
    <mergeCell ref="C44:N44"/>
    <mergeCell ref="O44:AF44"/>
    <mergeCell ref="C45:N45"/>
    <mergeCell ref="O45:AF45"/>
    <mergeCell ref="AK1:AT3"/>
    <mergeCell ref="O3:U3"/>
    <mergeCell ref="D1:J3"/>
    <mergeCell ref="C42:N42"/>
    <mergeCell ref="O42:AF42"/>
    <mergeCell ref="A1:C3"/>
    <mergeCell ref="K1:N3"/>
    <mergeCell ref="O1:U2"/>
    <mergeCell ref="V1:Y3"/>
    <mergeCell ref="Z1:AJ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T1000"/>
  <sheetViews>
    <sheetView showGridLines="0" workbookViewId="0">
      <selection sqref="A1:C3"/>
    </sheetView>
  </sheetViews>
  <sheetFormatPr defaultColWidth="14.3984375" defaultRowHeight="15" customHeight="1" x14ac:dyDescent="0.45"/>
  <cols>
    <col min="1" max="6" width="2.86328125" customWidth="1"/>
    <col min="7" max="7" width="4.265625" customWidth="1"/>
    <col min="8" max="8" width="2.86328125" customWidth="1"/>
    <col min="9" max="9" width="4.265625" customWidth="1"/>
    <col min="10" max="10" width="4.86328125" customWidth="1"/>
    <col min="11" max="36" width="2.86328125" customWidth="1"/>
    <col min="37" max="37" width="8.1328125" customWidth="1"/>
    <col min="38" max="46" width="2.86328125" customWidth="1"/>
  </cols>
  <sheetData>
    <row r="1" spans="1:46" ht="14.25" x14ac:dyDescent="0.45">
      <c r="A1" s="14" t="s">
        <v>0</v>
      </c>
      <c r="B1" s="13"/>
      <c r="C1" s="12"/>
      <c r="D1" s="5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87" t="str">
        <f ca="1">MID(CELL("filename",A1),FIND("]",CELL("filename",A1))+1,255)</f>
        <v>TS.Screen Layout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2"/>
      <c r="AK1" s="3"/>
      <c r="AL1" s="13"/>
      <c r="AM1" s="13"/>
      <c r="AN1" s="13"/>
      <c r="AO1" s="13"/>
      <c r="AP1" s="13"/>
      <c r="AQ1" s="13"/>
      <c r="AR1" s="13"/>
      <c r="AS1" s="13"/>
      <c r="AT1" s="12"/>
    </row>
    <row r="2" spans="1:46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8"/>
      <c r="P2" s="7"/>
      <c r="Q2" s="7"/>
      <c r="R2" s="7"/>
      <c r="S2" s="7"/>
      <c r="T2" s="7"/>
      <c r="U2" s="6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9"/>
      <c r="AK2" s="11"/>
      <c r="AL2" s="10"/>
      <c r="AM2" s="10"/>
      <c r="AN2" s="10"/>
      <c r="AO2" s="10"/>
      <c r="AP2" s="10"/>
      <c r="AQ2" s="10"/>
      <c r="AR2" s="10"/>
      <c r="AS2" s="10"/>
      <c r="AT2" s="9"/>
    </row>
    <row r="3" spans="1:46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91" t="s">
        <v>23</v>
      </c>
      <c r="P3" s="65"/>
      <c r="Q3" s="65"/>
      <c r="R3" s="65"/>
      <c r="S3" s="65"/>
      <c r="T3" s="65"/>
      <c r="U3" s="6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6"/>
    </row>
    <row r="4" spans="1:46" ht="16.5" x14ac:dyDescent="0.4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ht="16.5" x14ac:dyDescent="0.45">
      <c r="A5" s="44" t="s">
        <v>113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</row>
    <row r="6" spans="1:46" ht="16.5" x14ac:dyDescent="0.4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</row>
    <row r="7" spans="1:46" ht="16.5" x14ac:dyDescent="0.45">
      <c r="A7" s="21"/>
      <c r="B7" s="21"/>
      <c r="C7" s="21"/>
      <c r="D7" s="21" t="s">
        <v>114</v>
      </c>
      <c r="E7" s="4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</row>
    <row r="8" spans="1:46" ht="16.5" x14ac:dyDescent="0.4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</row>
    <row r="9" spans="1:46" ht="16.5" x14ac:dyDescent="0.4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</row>
    <row r="10" spans="1:46" ht="16.5" x14ac:dyDescent="0.4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</row>
    <row r="11" spans="1:46" ht="16.5" x14ac:dyDescent="0.4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</row>
    <row r="12" spans="1:46" ht="16.5" x14ac:dyDescent="0.4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</row>
    <row r="13" spans="1:46" ht="16.5" x14ac:dyDescent="0.4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</row>
    <row r="14" spans="1:46" ht="16.5" x14ac:dyDescent="0.4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</row>
    <row r="15" spans="1:46" ht="16.5" x14ac:dyDescent="0.4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</row>
    <row r="16" spans="1:46" ht="16.5" x14ac:dyDescent="0.4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</row>
    <row r="17" spans="1:46" ht="16.5" x14ac:dyDescent="0.4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</row>
    <row r="18" spans="1:46" ht="16.5" x14ac:dyDescent="0.4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</row>
    <row r="19" spans="1:46" ht="16.5" x14ac:dyDescent="0.4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</row>
    <row r="20" spans="1:46" ht="16.5" x14ac:dyDescent="0.4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</row>
    <row r="21" spans="1:46" ht="15.75" customHeight="1" x14ac:dyDescent="0.4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</row>
    <row r="22" spans="1:46" ht="15.75" customHeight="1" x14ac:dyDescent="0.45">
      <c r="A22" s="44"/>
      <c r="B22" s="44"/>
      <c r="C22" s="44"/>
      <c r="D22" s="21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</row>
    <row r="23" spans="1:46" ht="15.75" customHeight="1" x14ac:dyDescent="0.45">
      <c r="A23" s="44"/>
      <c r="B23" s="44"/>
      <c r="C23" s="44"/>
      <c r="D23" s="21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</row>
    <row r="24" spans="1:46" ht="15.75" customHeight="1" x14ac:dyDescent="0.45">
      <c r="A24" s="44"/>
      <c r="B24" s="44"/>
      <c r="C24" s="44"/>
      <c r="D24" s="21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</row>
    <row r="25" spans="1:46" ht="15.75" customHeight="1" x14ac:dyDescent="0.45">
      <c r="A25" s="44"/>
      <c r="B25" s="44"/>
      <c r="C25" s="44"/>
      <c r="D25" s="21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</row>
    <row r="26" spans="1:46" ht="15.75" customHeight="1" x14ac:dyDescent="0.45">
      <c r="A26" s="44"/>
      <c r="B26" s="44"/>
      <c r="C26" s="44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pans="1:46" ht="15.75" customHeight="1" x14ac:dyDescent="0.45">
      <c r="A27" s="44"/>
      <c r="B27" s="44"/>
      <c r="C27" s="44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pans="1:46" ht="15.75" customHeight="1" x14ac:dyDescent="0.4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</row>
    <row r="29" spans="1:46" ht="15.75" customHeight="1" x14ac:dyDescent="0.4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</row>
    <row r="30" spans="1:46" ht="15.75" customHeight="1" x14ac:dyDescent="0.4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</row>
    <row r="31" spans="1:46" ht="15.75" customHeight="1" x14ac:dyDescent="0.4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</row>
    <row r="32" spans="1:46" ht="15.75" customHeight="1" x14ac:dyDescent="0.45">
      <c r="A32" s="44"/>
      <c r="B32" s="44"/>
      <c r="C32" s="44"/>
      <c r="D32" s="44" t="s">
        <v>115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</row>
    <row r="33" spans="1:46" ht="15.75" customHeight="1" x14ac:dyDescent="0.4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</row>
    <row r="34" spans="1:46" ht="15.75" customHeight="1" x14ac:dyDescent="0.4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</row>
    <row r="35" spans="1:46" ht="15.75" customHeight="1" x14ac:dyDescent="0.4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</row>
    <row r="36" spans="1:46" ht="15.75" customHeight="1" x14ac:dyDescent="0.4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</row>
    <row r="37" spans="1:46" ht="15.75" customHeight="1" x14ac:dyDescent="0.4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</row>
    <row r="38" spans="1:46" ht="15.75" customHeight="1" x14ac:dyDescent="0.4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</row>
    <row r="39" spans="1:46" ht="15.75" customHeight="1" x14ac:dyDescent="0.4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</row>
    <row r="40" spans="1:46" ht="15.75" customHeight="1" x14ac:dyDescent="0.4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</row>
    <row r="41" spans="1:46" ht="15.75" customHeight="1" x14ac:dyDescent="0.4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</row>
    <row r="42" spans="1:46" ht="15.75" customHeight="1" x14ac:dyDescent="0.4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</row>
    <row r="43" spans="1:46" ht="15.75" customHeight="1" x14ac:dyDescent="0.4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</row>
    <row r="44" spans="1:46" ht="15.75" customHeight="1" x14ac:dyDescent="0.4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</row>
    <row r="45" spans="1:46" ht="15.75" customHeight="1" x14ac:dyDescent="0.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</row>
    <row r="46" spans="1:46" ht="15.75" customHeight="1" x14ac:dyDescent="0.4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</row>
    <row r="47" spans="1:46" ht="15.75" customHeight="1" x14ac:dyDescent="0.4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</row>
    <row r="48" spans="1:46" ht="15.75" customHeight="1" x14ac:dyDescent="0.4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</row>
    <row r="49" spans="1:46" ht="15.75" customHeight="1" x14ac:dyDescent="0.4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</row>
    <row r="50" spans="1:46" ht="15.75" customHeight="1" x14ac:dyDescent="0.4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</row>
    <row r="51" spans="1:46" ht="15.75" customHeight="1" x14ac:dyDescent="0.4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</row>
    <row r="52" spans="1:46" ht="15.75" customHeight="1" x14ac:dyDescent="0.4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</row>
    <row r="53" spans="1:46" ht="15.75" customHeight="1" x14ac:dyDescent="0.4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</row>
    <row r="54" spans="1:46" ht="15.75" customHeight="1" x14ac:dyDescent="0.4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</row>
    <row r="55" spans="1:46" ht="15.75" customHeight="1" x14ac:dyDescent="0.45">
      <c r="A55" s="44"/>
      <c r="B55" s="44"/>
      <c r="C55" s="44"/>
      <c r="D55" s="44" t="s">
        <v>116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</row>
    <row r="56" spans="1:46" ht="15.75" customHeight="1" x14ac:dyDescent="0.4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</row>
    <row r="57" spans="1:46" ht="15.75" customHeight="1" x14ac:dyDescent="0.4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</row>
    <row r="58" spans="1:46" ht="15.75" customHeight="1" x14ac:dyDescent="0.4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</row>
    <row r="59" spans="1:46" ht="15.75" customHeight="1" x14ac:dyDescent="0.4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</row>
    <row r="60" spans="1:46" ht="15.75" customHeight="1" x14ac:dyDescent="0.4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</row>
    <row r="61" spans="1:46" ht="15.75" customHeight="1" x14ac:dyDescent="0.4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</row>
    <row r="62" spans="1:46" ht="15.75" customHeight="1" x14ac:dyDescent="0.4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</row>
    <row r="63" spans="1:46" ht="15.75" customHeight="1" x14ac:dyDescent="0.4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</row>
    <row r="64" spans="1:46" ht="15.75" customHeight="1" x14ac:dyDescent="0.4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</row>
    <row r="65" spans="1:46" ht="15.75" customHeight="1" x14ac:dyDescent="0.4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</row>
    <row r="66" spans="1:46" ht="15.75" customHeight="1" x14ac:dyDescent="0.4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</row>
    <row r="67" spans="1:46" ht="15.75" customHeight="1" x14ac:dyDescent="0.4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</row>
    <row r="68" spans="1:46" ht="15.75" customHeight="1" x14ac:dyDescent="0.4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</row>
    <row r="69" spans="1:46" ht="15.75" customHeight="1" x14ac:dyDescent="0.4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</row>
    <row r="70" spans="1:46" ht="15.75" customHeight="1" x14ac:dyDescent="0.4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</row>
    <row r="71" spans="1:46" ht="15.75" customHeight="1" x14ac:dyDescent="0.4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</row>
    <row r="72" spans="1:46" ht="15.75" customHeight="1" x14ac:dyDescent="0.4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</row>
    <row r="73" spans="1:46" ht="15.75" customHeight="1" x14ac:dyDescent="0.4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</row>
    <row r="74" spans="1:46" ht="15.75" customHeight="1" x14ac:dyDescent="0.4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</row>
    <row r="75" spans="1:46" ht="15.75" customHeight="1" x14ac:dyDescent="0.4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</row>
    <row r="76" spans="1:46" ht="15.75" customHeight="1" x14ac:dyDescent="0.4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</row>
    <row r="77" spans="1:46" ht="15.75" customHeight="1" x14ac:dyDescent="0.4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</row>
    <row r="78" spans="1:46" ht="15.75" customHeight="1" x14ac:dyDescent="0.45">
      <c r="A78" s="44"/>
      <c r="B78" s="44"/>
      <c r="C78" s="44"/>
      <c r="D78" s="44" t="s">
        <v>117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</row>
    <row r="79" spans="1:46" ht="15.75" customHeight="1" x14ac:dyDescent="0.4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</row>
    <row r="80" spans="1:46" ht="15.75" customHeight="1" x14ac:dyDescent="0.4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</row>
    <row r="81" spans="1:46" ht="15.75" customHeight="1" x14ac:dyDescent="0.4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</row>
    <row r="82" spans="1:46" ht="15.75" customHeight="1" x14ac:dyDescent="0.4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</row>
    <row r="83" spans="1:46" ht="15.75" customHeight="1" x14ac:dyDescent="0.4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</row>
    <row r="84" spans="1:46" ht="15.75" customHeight="1" x14ac:dyDescent="0.4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</row>
    <row r="85" spans="1:46" ht="15.75" customHeight="1" x14ac:dyDescent="0.4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</row>
    <row r="86" spans="1:46" ht="15.75" customHeight="1" x14ac:dyDescent="0.4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</row>
    <row r="87" spans="1:46" ht="15.75" customHeight="1" x14ac:dyDescent="0.4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</row>
    <row r="88" spans="1:46" ht="15.75" customHeight="1" x14ac:dyDescent="0.4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</row>
    <row r="89" spans="1:46" ht="15.75" customHeight="1" x14ac:dyDescent="0.4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</row>
    <row r="90" spans="1:46" ht="15.75" customHeight="1" x14ac:dyDescent="0.4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</row>
    <row r="91" spans="1:46" ht="15.75" customHeight="1" x14ac:dyDescent="0.4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</row>
    <row r="92" spans="1:46" ht="15.75" customHeight="1" x14ac:dyDescent="0.4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</row>
    <row r="93" spans="1:46" ht="15.75" customHeight="1" x14ac:dyDescent="0.4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</row>
    <row r="94" spans="1:46" ht="15.75" customHeight="1" x14ac:dyDescent="0.4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</row>
    <row r="95" spans="1:46" ht="15.75" customHeight="1" x14ac:dyDescent="0.4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</row>
    <row r="96" spans="1:46" ht="15.75" customHeight="1" x14ac:dyDescent="0.4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</row>
    <row r="97" spans="1:46" ht="15.75" customHeight="1" x14ac:dyDescent="0.4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</row>
    <row r="98" spans="1:46" ht="15.75" customHeight="1" x14ac:dyDescent="0.4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</row>
    <row r="99" spans="1:46" ht="15.75" customHeight="1" x14ac:dyDescent="0.4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</row>
    <row r="100" spans="1:46" ht="15.75" customHeight="1" x14ac:dyDescent="0.4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</row>
    <row r="101" spans="1:46" ht="15.75" customHeight="1" x14ac:dyDescent="0.45">
      <c r="A101" s="44"/>
      <c r="B101" s="44"/>
      <c r="C101" s="44"/>
      <c r="D101" s="44" t="s">
        <v>118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</row>
    <row r="102" spans="1:46" ht="15.75" customHeight="1" x14ac:dyDescent="0.4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</row>
    <row r="103" spans="1:46" ht="15.75" customHeight="1" x14ac:dyDescent="0.4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</row>
    <row r="104" spans="1:46" ht="15.75" customHeight="1" x14ac:dyDescent="0.4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</row>
    <row r="105" spans="1:46" ht="15.75" customHeight="1" x14ac:dyDescent="0.4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</row>
    <row r="106" spans="1:46" ht="15.75" customHeight="1" x14ac:dyDescent="0.4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</row>
    <row r="107" spans="1:46" ht="15.75" customHeight="1" x14ac:dyDescent="0.4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</row>
    <row r="108" spans="1:46" ht="15.75" customHeight="1" x14ac:dyDescent="0.4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</row>
    <row r="109" spans="1:46" ht="15.75" customHeight="1" x14ac:dyDescent="0.4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</row>
    <row r="110" spans="1:46" ht="15.75" customHeight="1" x14ac:dyDescent="0.4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</row>
    <row r="111" spans="1:46" ht="15.75" customHeight="1" x14ac:dyDescent="0.4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</row>
    <row r="112" spans="1:46" ht="15.75" customHeight="1" x14ac:dyDescent="0.4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</row>
    <row r="113" spans="1:46" ht="15.75" customHeight="1" x14ac:dyDescent="0.4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</row>
    <row r="114" spans="1:46" ht="15.75" customHeight="1" x14ac:dyDescent="0.4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</row>
    <row r="115" spans="1:46" ht="15.75" customHeight="1" x14ac:dyDescent="0.4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</row>
    <row r="116" spans="1:46" ht="15.75" customHeight="1" x14ac:dyDescent="0.4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</row>
    <row r="117" spans="1:46" ht="15.75" customHeight="1" x14ac:dyDescent="0.4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</row>
    <row r="118" spans="1:46" ht="15.75" customHeight="1" x14ac:dyDescent="0.4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</row>
    <row r="119" spans="1:46" ht="15.75" customHeight="1" x14ac:dyDescent="0.4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</row>
    <row r="120" spans="1:46" ht="15.75" customHeight="1" x14ac:dyDescent="0.4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</row>
    <row r="121" spans="1:46" ht="15.75" customHeight="1" x14ac:dyDescent="0.4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</row>
    <row r="122" spans="1:46" ht="15.75" customHeight="1" x14ac:dyDescent="0.4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</row>
    <row r="123" spans="1:46" ht="15.75" customHeight="1" x14ac:dyDescent="0.4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</row>
    <row r="124" spans="1:46" ht="15.75" customHeight="1" x14ac:dyDescent="0.45">
      <c r="A124" s="44"/>
      <c r="B124" s="44"/>
      <c r="C124" s="44" t="s">
        <v>119</v>
      </c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</row>
    <row r="125" spans="1:46" ht="15.75" customHeight="1" x14ac:dyDescent="0.4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</row>
    <row r="126" spans="1:46" ht="15.75" customHeight="1" x14ac:dyDescent="0.4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</row>
    <row r="127" spans="1:46" ht="15.75" customHeight="1" x14ac:dyDescent="0.4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</row>
    <row r="128" spans="1:46" ht="15.75" customHeight="1" x14ac:dyDescent="0.4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</row>
    <row r="129" spans="1:46" ht="15.75" customHeight="1" x14ac:dyDescent="0.4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</row>
    <row r="130" spans="1:46" ht="15.75" customHeight="1" x14ac:dyDescent="0.4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</row>
    <row r="131" spans="1:46" ht="15.75" customHeight="1" x14ac:dyDescent="0.4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</row>
    <row r="132" spans="1:46" ht="15.75" customHeight="1" x14ac:dyDescent="0.4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</row>
    <row r="133" spans="1:46" ht="15.75" customHeight="1" x14ac:dyDescent="0.4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</row>
    <row r="134" spans="1:46" ht="15.75" customHeight="1" x14ac:dyDescent="0.4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</row>
    <row r="135" spans="1:46" ht="15.75" customHeight="1" x14ac:dyDescent="0.4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</row>
    <row r="136" spans="1:46" ht="15.75" customHeight="1" x14ac:dyDescent="0.4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</row>
    <row r="137" spans="1:46" ht="15.75" customHeight="1" x14ac:dyDescent="0.4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</row>
    <row r="138" spans="1:46" ht="15.75" customHeight="1" x14ac:dyDescent="0.4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</row>
    <row r="139" spans="1:46" ht="15.75" customHeight="1" x14ac:dyDescent="0.4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</row>
    <row r="140" spans="1:46" ht="15.75" customHeight="1" x14ac:dyDescent="0.4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</row>
    <row r="141" spans="1:46" ht="15.75" customHeight="1" x14ac:dyDescent="0.4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</row>
    <row r="142" spans="1:46" ht="15.75" customHeight="1" x14ac:dyDescent="0.4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</row>
    <row r="143" spans="1:46" ht="15.75" customHeight="1" x14ac:dyDescent="0.4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</row>
    <row r="144" spans="1:46" ht="15.75" customHeight="1" x14ac:dyDescent="0.4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</row>
    <row r="145" spans="1:46" ht="15.75" customHeight="1" x14ac:dyDescent="0.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</row>
    <row r="146" spans="1:46" ht="15.75" customHeight="1" x14ac:dyDescent="0.4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</row>
    <row r="147" spans="1:46" ht="15.75" customHeight="1" x14ac:dyDescent="0.4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</row>
    <row r="148" spans="1:46" ht="15.75" customHeight="1" x14ac:dyDescent="0.4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</row>
    <row r="149" spans="1:46" ht="15.75" customHeight="1" x14ac:dyDescent="0.45">
      <c r="A149" s="44"/>
      <c r="B149" s="44"/>
      <c r="C149" s="44" t="s">
        <v>120</v>
      </c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</row>
    <row r="150" spans="1:46" ht="15.75" customHeight="1" x14ac:dyDescent="0.4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</row>
    <row r="151" spans="1:46" ht="15.75" customHeight="1" x14ac:dyDescent="0.4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</row>
    <row r="152" spans="1:46" ht="15.75" customHeight="1" x14ac:dyDescent="0.4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</row>
    <row r="153" spans="1:46" ht="15.75" customHeight="1" x14ac:dyDescent="0.4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</row>
    <row r="154" spans="1:46" ht="15.75" customHeight="1" x14ac:dyDescent="0.4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</row>
    <row r="155" spans="1:46" ht="15.75" customHeight="1" x14ac:dyDescent="0.4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</row>
    <row r="156" spans="1:46" ht="15.75" customHeight="1" x14ac:dyDescent="0.4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</row>
    <row r="157" spans="1:46" ht="15.75" customHeight="1" x14ac:dyDescent="0.4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</row>
    <row r="158" spans="1:46" ht="15.75" customHeight="1" x14ac:dyDescent="0.4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</row>
    <row r="159" spans="1:46" ht="15.75" customHeight="1" x14ac:dyDescent="0.4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</row>
    <row r="160" spans="1:46" ht="15.75" customHeight="1" x14ac:dyDescent="0.4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</row>
    <row r="161" spans="1:46" ht="15.75" customHeight="1" x14ac:dyDescent="0.4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</row>
    <row r="162" spans="1:46" ht="15.75" customHeight="1" x14ac:dyDescent="0.4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</row>
    <row r="163" spans="1:46" ht="15.75" customHeight="1" x14ac:dyDescent="0.4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</row>
    <row r="164" spans="1:46" ht="15.75" customHeight="1" x14ac:dyDescent="0.4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</row>
    <row r="165" spans="1:46" ht="15.75" customHeight="1" x14ac:dyDescent="0.4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</row>
    <row r="166" spans="1:46" ht="15.75" customHeight="1" x14ac:dyDescent="0.4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</row>
    <row r="167" spans="1:46" ht="15.75" customHeight="1" x14ac:dyDescent="0.4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</row>
    <row r="168" spans="1:46" ht="15.75" customHeight="1" x14ac:dyDescent="0.4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</row>
    <row r="169" spans="1:46" ht="15.75" customHeight="1" x14ac:dyDescent="0.4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</row>
    <row r="170" spans="1:46" ht="15.75" customHeight="1" x14ac:dyDescent="0.4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</row>
    <row r="171" spans="1:46" ht="15.75" customHeight="1" x14ac:dyDescent="0.4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</row>
    <row r="172" spans="1:46" ht="15.75" customHeight="1" x14ac:dyDescent="0.4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</row>
    <row r="173" spans="1:46" ht="15.75" customHeight="1" x14ac:dyDescent="0.4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</row>
    <row r="174" spans="1:46" ht="15.75" customHeight="1" x14ac:dyDescent="0.4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</row>
    <row r="175" spans="1:46" ht="15.75" customHeight="1" x14ac:dyDescent="0.4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</row>
    <row r="176" spans="1:46" ht="15.75" customHeight="1" x14ac:dyDescent="0.4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</row>
    <row r="177" spans="1:46" ht="15.75" customHeight="1" x14ac:dyDescent="0.4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</row>
    <row r="178" spans="1:46" ht="15.75" customHeight="1" x14ac:dyDescent="0.4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</row>
    <row r="179" spans="1:46" ht="15.75" customHeight="1" x14ac:dyDescent="0.4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</row>
    <row r="180" spans="1:46" ht="15.75" customHeight="1" x14ac:dyDescent="0.45"/>
    <row r="181" spans="1:46" ht="15.75" customHeight="1" x14ac:dyDescent="0.45"/>
    <row r="182" spans="1:46" ht="15.75" customHeight="1" x14ac:dyDescent="0.45"/>
    <row r="183" spans="1:46" ht="15.75" customHeight="1" x14ac:dyDescent="0.45"/>
    <row r="184" spans="1:46" ht="15.75" customHeight="1" x14ac:dyDescent="0.45"/>
    <row r="185" spans="1:46" ht="15.75" customHeight="1" x14ac:dyDescent="0.45"/>
    <row r="186" spans="1:46" ht="15.75" customHeight="1" x14ac:dyDescent="0.45"/>
    <row r="187" spans="1:46" ht="15.75" customHeight="1" x14ac:dyDescent="0.45"/>
    <row r="188" spans="1:46" ht="15.75" customHeight="1" x14ac:dyDescent="0.45"/>
    <row r="189" spans="1:46" ht="15.75" customHeight="1" x14ac:dyDescent="0.45"/>
    <row r="190" spans="1:46" ht="15.75" customHeight="1" x14ac:dyDescent="0.45"/>
    <row r="191" spans="1:46" ht="15.75" customHeight="1" x14ac:dyDescent="0.45"/>
    <row r="192" spans="1:46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8">
    <mergeCell ref="Z1:AJ3"/>
    <mergeCell ref="AK1:AT3"/>
    <mergeCell ref="O3:U3"/>
    <mergeCell ref="A1:C3"/>
    <mergeCell ref="D1:J3"/>
    <mergeCell ref="K1:N3"/>
    <mergeCell ref="O1:U2"/>
    <mergeCell ref="V1:Y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T1000"/>
  <sheetViews>
    <sheetView showGridLines="0" tabSelected="1" topLeftCell="A7" workbookViewId="0">
      <selection activeCell="AQ16" sqref="AQ16:AQ21"/>
    </sheetView>
  </sheetViews>
  <sheetFormatPr defaultColWidth="14.3984375" defaultRowHeight="15" customHeight="1" x14ac:dyDescent="0.45"/>
  <cols>
    <col min="1" max="46" width="2.86328125" customWidth="1"/>
  </cols>
  <sheetData>
    <row r="1" spans="1:46" ht="14.25" x14ac:dyDescent="0.45">
      <c r="A1" s="14" t="s">
        <v>0</v>
      </c>
      <c r="B1" s="13"/>
      <c r="C1" s="12"/>
      <c r="D1" s="5" t="str">
        <f>'01.Cover'!Y12</f>
        <v>TS_SEND_EMAIL</v>
      </c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87" t="str">
        <f ca="1">MID(CELL("filename",A1),FIND("]",CELL("filename",A1))+1,255)</f>
        <v>TS.Processing Logic</v>
      </c>
      <c r="P1" s="13"/>
      <c r="Q1" s="13"/>
      <c r="R1" s="13"/>
      <c r="S1" s="13"/>
      <c r="T1" s="13"/>
      <c r="U1" s="12"/>
      <c r="V1" s="4" t="s">
        <v>2</v>
      </c>
      <c r="W1" s="13"/>
      <c r="X1" s="13"/>
      <c r="Y1" s="13"/>
      <c r="Z1" s="3" t="str">
        <f>'01.Cover'!B9</f>
        <v>Technical Specification</v>
      </c>
      <c r="AA1" s="13"/>
      <c r="AB1" s="13"/>
      <c r="AC1" s="13"/>
      <c r="AD1" s="13"/>
      <c r="AE1" s="13"/>
      <c r="AF1" s="13"/>
      <c r="AG1" s="13"/>
      <c r="AH1" s="13"/>
      <c r="AI1" s="13"/>
      <c r="AJ1" s="12"/>
      <c r="AK1" s="3"/>
      <c r="AL1" s="13"/>
      <c r="AM1" s="13"/>
      <c r="AN1" s="13"/>
      <c r="AO1" s="13"/>
      <c r="AP1" s="13"/>
      <c r="AQ1" s="13"/>
      <c r="AR1" s="13"/>
      <c r="AS1" s="13"/>
      <c r="AT1" s="12"/>
    </row>
    <row r="2" spans="1:46" ht="14.25" x14ac:dyDescent="0.45">
      <c r="A2" s="11"/>
      <c r="B2" s="10"/>
      <c r="C2" s="9"/>
      <c r="D2" s="11"/>
      <c r="E2" s="10"/>
      <c r="F2" s="10"/>
      <c r="G2" s="10"/>
      <c r="H2" s="10"/>
      <c r="I2" s="10"/>
      <c r="J2" s="9"/>
      <c r="K2" s="11"/>
      <c r="L2" s="10"/>
      <c r="M2" s="10"/>
      <c r="N2" s="10"/>
      <c r="O2" s="8"/>
      <c r="P2" s="7"/>
      <c r="Q2" s="7"/>
      <c r="R2" s="7"/>
      <c r="S2" s="7"/>
      <c r="T2" s="7"/>
      <c r="U2" s="6"/>
      <c r="V2" s="10"/>
      <c r="W2" s="10"/>
      <c r="X2" s="10"/>
      <c r="Y2" s="10"/>
      <c r="Z2" s="11"/>
      <c r="AA2" s="10"/>
      <c r="AB2" s="10"/>
      <c r="AC2" s="10"/>
      <c r="AD2" s="10"/>
      <c r="AE2" s="10"/>
      <c r="AF2" s="10"/>
      <c r="AG2" s="10"/>
      <c r="AH2" s="10"/>
      <c r="AI2" s="10"/>
      <c r="AJ2" s="9"/>
      <c r="AK2" s="11"/>
      <c r="AL2" s="10"/>
      <c r="AM2" s="10"/>
      <c r="AN2" s="10"/>
      <c r="AO2" s="10"/>
      <c r="AP2" s="10"/>
      <c r="AQ2" s="10"/>
      <c r="AR2" s="10"/>
      <c r="AS2" s="10"/>
      <c r="AT2" s="9"/>
    </row>
    <row r="3" spans="1:46" ht="14.25" x14ac:dyDescent="0.45">
      <c r="A3" s="8"/>
      <c r="B3" s="7"/>
      <c r="C3" s="6"/>
      <c r="D3" s="8"/>
      <c r="E3" s="7"/>
      <c r="F3" s="7"/>
      <c r="G3" s="7"/>
      <c r="H3" s="7"/>
      <c r="I3" s="7"/>
      <c r="J3" s="6"/>
      <c r="K3" s="8"/>
      <c r="L3" s="7"/>
      <c r="M3" s="7"/>
      <c r="N3" s="7"/>
      <c r="O3" s="91" t="s">
        <v>23</v>
      </c>
      <c r="P3" s="65"/>
      <c r="Q3" s="65"/>
      <c r="R3" s="65"/>
      <c r="S3" s="65"/>
      <c r="T3" s="65"/>
      <c r="U3" s="66"/>
      <c r="V3" s="7"/>
      <c r="W3" s="7"/>
      <c r="X3" s="7"/>
      <c r="Y3" s="7"/>
      <c r="Z3" s="8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6"/>
    </row>
    <row r="4" spans="1:46" ht="16.5" x14ac:dyDescent="0.45">
      <c r="A4" s="21"/>
      <c r="B4" s="21"/>
      <c r="C4" s="21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6.5" x14ac:dyDescent="0.45">
      <c r="A5" s="44" t="s">
        <v>121</v>
      </c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 ht="16.5" x14ac:dyDescent="0.45">
      <c r="A6" s="27"/>
      <c r="B6" s="27"/>
      <c r="C6" s="53" t="s">
        <v>122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spans="1:46" ht="16.5" x14ac:dyDescent="0.45">
      <c r="A7" s="27"/>
      <c r="B7" s="27"/>
      <c r="C7" s="53" t="s">
        <v>123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spans="1:46" ht="16.5" x14ac:dyDescent="0.45">
      <c r="A8" s="27"/>
      <c r="B8" s="27"/>
      <c r="C8" s="54" t="s">
        <v>124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ht="16.5" x14ac:dyDescent="0.45">
      <c r="A9" s="27"/>
      <c r="B9" s="27"/>
      <c r="C9" s="27" t="s">
        <v>125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ht="16.5" x14ac:dyDescent="0.45">
      <c r="A10" s="27"/>
      <c r="B10" s="27"/>
      <c r="C10" s="53" t="s">
        <v>126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ht="16.5" x14ac:dyDescent="0.45">
      <c r="A11" s="27"/>
      <c r="B11" s="27"/>
      <c r="C11" s="60" t="s">
        <v>127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spans="1:46" ht="16.5" x14ac:dyDescent="0.45">
      <c r="A12" s="27"/>
      <c r="B12" s="27"/>
      <c r="C12" s="60" t="s">
        <v>128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spans="1:46" ht="16.5" x14ac:dyDescent="0.45">
      <c r="A13" s="27"/>
      <c r="B13" s="27"/>
      <c r="C13" s="61" t="s">
        <v>129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ht="16.5" x14ac:dyDescent="0.45">
      <c r="A14" s="27"/>
      <c r="B14" s="27"/>
      <c r="C14" s="60" t="s">
        <v>130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6" ht="16.5" x14ac:dyDescent="0.45">
      <c r="A15" s="27"/>
      <c r="B15" s="27"/>
      <c r="C15" s="61" t="s">
        <v>131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ht="16.5" x14ac:dyDescent="0.45">
      <c r="A16" s="27"/>
      <c r="B16" s="27"/>
      <c r="C16" s="61" t="s">
        <v>132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1:46" ht="16.5" x14ac:dyDescent="0.45">
      <c r="A17" s="27"/>
      <c r="B17" s="27"/>
      <c r="C17" s="61" t="s">
        <v>133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16.5" x14ac:dyDescent="0.45">
      <c r="A18" s="27"/>
      <c r="B18" s="27"/>
      <c r="C18" s="60" t="s">
        <v>134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ht="16.5" x14ac:dyDescent="0.45">
      <c r="A19" s="27"/>
      <c r="B19" s="27"/>
      <c r="C19" s="61" t="s">
        <v>135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</row>
    <row r="20" spans="1:46" ht="16.5" x14ac:dyDescent="0.45">
      <c r="A20" s="27"/>
      <c r="B20" s="27"/>
      <c r="C20" s="27" t="s">
        <v>136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ht="15.75" customHeight="1" x14ac:dyDescent="0.4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ht="15.75" customHeight="1" x14ac:dyDescent="0.45">
      <c r="A22" s="27"/>
      <c r="B22" s="27"/>
      <c r="C22" s="27" t="s">
        <v>137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46" ht="15.75" customHeight="1" x14ac:dyDescent="0.45">
      <c r="A23" s="27"/>
      <c r="B23" s="27"/>
      <c r="C23" s="27" t="s">
        <v>138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46" ht="15.75" customHeight="1" x14ac:dyDescent="0.45">
      <c r="A24" s="27"/>
      <c r="B24" s="27"/>
      <c r="C24" s="27" t="s">
        <v>139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ht="15.75" customHeight="1" x14ac:dyDescent="0.45">
      <c r="A25" s="27"/>
      <c r="B25" s="27"/>
      <c r="C25" s="27" t="s">
        <v>140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46" ht="15.75" customHeight="1" x14ac:dyDescent="0.45">
      <c r="A26" s="27"/>
      <c r="B26" s="27"/>
      <c r="C26" s="27" t="s">
        <v>141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ht="15.75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spans="1:46" ht="15.75" customHeight="1" x14ac:dyDescent="0.45">
      <c r="A28" s="27"/>
      <c r="B28" s="27"/>
      <c r="C28" s="27" t="s">
        <v>142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6" ht="15.75" customHeight="1" x14ac:dyDescent="0.45">
      <c r="A29" s="27"/>
      <c r="B29" s="27"/>
      <c r="C29" s="27" t="s">
        <v>143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spans="1:46" ht="15.75" customHeight="1" x14ac:dyDescent="0.45">
      <c r="A30" s="27"/>
      <c r="B30" s="27"/>
      <c r="C30" s="27" t="s">
        <v>144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spans="1:46" ht="15.75" customHeight="1" x14ac:dyDescent="0.45">
      <c r="A31" s="27"/>
      <c r="B31" s="27"/>
      <c r="C31" s="27" t="s">
        <v>145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 ht="15.75" customHeight="1" x14ac:dyDescent="0.45">
      <c r="A32" s="27"/>
      <c r="B32" s="27"/>
      <c r="C32" s="27" t="s">
        <v>146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46" ht="15.75" customHeight="1" x14ac:dyDescent="0.45">
      <c r="A33" s="27"/>
      <c r="B33" s="27"/>
      <c r="C33" s="27" t="s">
        <v>147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:46" ht="15.75" customHeight="1" x14ac:dyDescent="0.45">
      <c r="A34" s="27"/>
      <c r="B34" s="27"/>
      <c r="C34" s="27" t="s">
        <v>148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spans="1:46" ht="15.75" customHeight="1" x14ac:dyDescent="0.45">
      <c r="A35" s="27"/>
      <c r="B35" s="27"/>
      <c r="C35" s="27" t="s">
        <v>149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spans="1:46" ht="15.75" customHeight="1" x14ac:dyDescent="0.45">
      <c r="A36" s="27"/>
      <c r="B36" s="27"/>
      <c r="C36" s="27" t="s">
        <v>150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spans="1:46" ht="15.75" customHeight="1" x14ac:dyDescent="0.45">
      <c r="A37" s="27"/>
      <c r="B37" s="27"/>
      <c r="C37" s="27" t="s">
        <v>151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  <row r="38" spans="1:46" ht="15.75" customHeight="1" x14ac:dyDescent="0.45">
      <c r="A38" s="27"/>
      <c r="B38" s="27"/>
      <c r="C38" s="27" t="s">
        <v>152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</row>
    <row r="39" spans="1:46" ht="15.75" customHeight="1" x14ac:dyDescent="0.4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spans="1:46" ht="15.75" customHeight="1" x14ac:dyDescent="0.45">
      <c r="A40" s="27"/>
      <c r="B40" s="27"/>
      <c r="C40" s="27" t="s">
        <v>153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spans="1:46" ht="15.75" customHeight="1" x14ac:dyDescent="0.45">
      <c r="A41" s="27"/>
      <c r="B41" s="27"/>
      <c r="C41" s="27" t="s">
        <v>154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spans="1:46" ht="15.75" customHeight="1" x14ac:dyDescent="0.45">
      <c r="A42" s="27"/>
      <c r="B42" s="27"/>
      <c r="C42" s="27" t="s">
        <v>155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spans="1:46" ht="15.75" customHeight="1" x14ac:dyDescent="0.45">
      <c r="A43" s="27"/>
      <c r="B43" s="27"/>
      <c r="C43" s="27" t="s">
        <v>156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spans="1:46" ht="15.75" customHeight="1" x14ac:dyDescent="0.4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spans="1:46" ht="15.75" customHeight="1" x14ac:dyDescent="0.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spans="1:46" ht="15.75" customHeight="1" x14ac:dyDescent="0.4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spans="1:46" ht="15.75" customHeight="1" x14ac:dyDescent="0.4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spans="1:46" ht="15.75" customHeight="1" x14ac:dyDescent="0.4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spans="1:46" ht="15.75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spans="1:46" ht="15.75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spans="1:46" ht="15.75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spans="1:46" ht="15.75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spans="1:46" ht="15.75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spans="1:46" ht="15.75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spans="1:46" ht="15.75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spans="1:46" ht="15.75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spans="1:46" ht="15.75" customHeight="1" x14ac:dyDescent="0.4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spans="1:46" ht="15.75" customHeight="1" x14ac:dyDescent="0.4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spans="1:46" ht="15.75" customHeight="1" x14ac:dyDescent="0.4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spans="1:46" ht="15.75" customHeight="1" x14ac:dyDescent="0.4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spans="1:46" ht="15.75" customHeight="1" x14ac:dyDescent="0.4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spans="1:46" ht="15.75" customHeight="1" x14ac:dyDescent="0.4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spans="1:46" ht="15.75" customHeight="1" x14ac:dyDescent="0.4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spans="1:46" ht="15.75" customHeight="1" x14ac:dyDescent="0.4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spans="1:46" ht="15.75" customHeight="1" x14ac:dyDescent="0.4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spans="1:46" ht="15.75" customHeight="1" x14ac:dyDescent="0.4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spans="1:46" ht="15.75" customHeight="1" x14ac:dyDescent="0.4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spans="1:46" ht="15.75" customHeight="1" x14ac:dyDescent="0.4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spans="1:46" ht="15.75" customHeight="1" x14ac:dyDescent="0.4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spans="1:46" ht="15.75" customHeight="1" x14ac:dyDescent="0.4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spans="1:46" ht="15.75" customHeight="1" x14ac:dyDescent="0.4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spans="1:46" ht="15.75" customHeight="1" x14ac:dyDescent="0.4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spans="1:46" ht="15.75" customHeight="1" x14ac:dyDescent="0.4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spans="1:46" ht="15.75" customHeight="1" x14ac:dyDescent="0.4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spans="1:46" ht="15.75" customHeight="1" x14ac:dyDescent="0.4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spans="1:46" ht="15.75" customHeight="1" x14ac:dyDescent="0.4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spans="1:46" ht="15.75" customHeight="1" x14ac:dyDescent="0.4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spans="1:46" ht="15.75" customHeight="1" x14ac:dyDescent="0.4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spans="1:46" ht="15.75" customHeight="1" x14ac:dyDescent="0.4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spans="1:46" ht="15.75" customHeight="1" x14ac:dyDescent="0.4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spans="1:46" ht="15.75" customHeight="1" x14ac:dyDescent="0.4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spans="1:46" ht="15.75" customHeight="1" x14ac:dyDescent="0.4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spans="1:46" ht="15.75" customHeight="1" x14ac:dyDescent="0.4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spans="1:46" ht="15.75" customHeight="1" x14ac:dyDescent="0.4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spans="1:46" ht="15.75" customHeight="1" x14ac:dyDescent="0.4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spans="1:46" ht="15.75" customHeight="1" x14ac:dyDescent="0.4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spans="1:46" ht="15.75" customHeight="1" x14ac:dyDescent="0.4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spans="1:46" ht="15.75" customHeight="1" x14ac:dyDescent="0.4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spans="1:46" ht="15.75" customHeight="1" x14ac:dyDescent="0.4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spans="1:46" ht="15.75" customHeight="1" x14ac:dyDescent="0.4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spans="1:46" ht="15.75" customHeight="1" x14ac:dyDescent="0.4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spans="1:46" ht="15.75" customHeight="1" x14ac:dyDescent="0.4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spans="1:46" ht="15.75" customHeight="1" x14ac:dyDescent="0.4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spans="1:46" ht="15.75" customHeight="1" x14ac:dyDescent="0.4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spans="1:46" ht="15.75" customHeight="1" x14ac:dyDescent="0.4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spans="1:46" ht="15.75" customHeight="1" x14ac:dyDescent="0.4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spans="1:46" ht="15.75" customHeight="1" x14ac:dyDescent="0.4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spans="1:46" ht="15.75" customHeight="1" x14ac:dyDescent="0.4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spans="1:46" ht="15.75" customHeight="1" x14ac:dyDescent="0.4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spans="1:46" ht="15.75" customHeight="1" x14ac:dyDescent="0.4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spans="1:46" ht="15.75" customHeight="1" x14ac:dyDescent="0.4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spans="1:46" ht="15.75" customHeight="1" x14ac:dyDescent="0.4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spans="1:46" ht="15.75" customHeight="1" x14ac:dyDescent="0.4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spans="1:46" ht="15.75" customHeight="1" x14ac:dyDescent="0.4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spans="1:46" ht="15.75" customHeight="1" x14ac:dyDescent="0.4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spans="1:46" ht="15.75" customHeight="1" x14ac:dyDescent="0.4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spans="1:46" ht="15.75" customHeight="1" x14ac:dyDescent="0.4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spans="1:46" ht="15.75" customHeight="1" x14ac:dyDescent="0.4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spans="1:46" ht="15.75" customHeight="1" x14ac:dyDescent="0.4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spans="1:46" ht="15.75" customHeight="1" x14ac:dyDescent="0.4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spans="1:46" ht="15.75" customHeight="1" x14ac:dyDescent="0.4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spans="1:46" ht="15.75" customHeight="1" x14ac:dyDescent="0.4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spans="1:46" ht="15.75" customHeight="1" x14ac:dyDescent="0.4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spans="1:46" ht="15.75" customHeight="1" x14ac:dyDescent="0.4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spans="1:46" ht="15.75" customHeight="1" x14ac:dyDescent="0.4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spans="1:46" ht="15.75" customHeight="1" x14ac:dyDescent="0.4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spans="1:46" ht="15.75" customHeight="1" x14ac:dyDescent="0.4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spans="1:46" ht="15.75" customHeight="1" x14ac:dyDescent="0.4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spans="1:46" ht="15.75" customHeight="1" x14ac:dyDescent="0.4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spans="1:46" ht="15.75" customHeight="1" x14ac:dyDescent="0.4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spans="1:46" ht="15.75" customHeight="1" x14ac:dyDescent="0.4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spans="1:46" ht="15.75" customHeight="1" x14ac:dyDescent="0.4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spans="1:46" ht="15.75" customHeight="1" x14ac:dyDescent="0.4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spans="1:46" ht="15.75" customHeight="1" x14ac:dyDescent="0.4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spans="1:46" ht="15.75" customHeight="1" x14ac:dyDescent="0.4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spans="1:46" ht="15.75" customHeight="1" x14ac:dyDescent="0.4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spans="1:46" ht="15.75" customHeight="1" x14ac:dyDescent="0.4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spans="1:46" ht="15.75" customHeight="1" x14ac:dyDescent="0.4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spans="1:46" ht="15.75" customHeight="1" x14ac:dyDescent="0.4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spans="1:46" ht="15.75" customHeight="1" x14ac:dyDescent="0.4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spans="1:46" ht="15.75" customHeight="1" x14ac:dyDescent="0.4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spans="1:46" ht="15.75" customHeight="1" x14ac:dyDescent="0.4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spans="1:46" ht="15.75" customHeight="1" x14ac:dyDescent="0.4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spans="1:46" ht="15.75" customHeight="1" x14ac:dyDescent="0.4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spans="1:46" ht="15.75" customHeight="1" x14ac:dyDescent="0.4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spans="1:46" ht="15.75" customHeight="1" x14ac:dyDescent="0.4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spans="1:46" ht="15.75" customHeight="1" x14ac:dyDescent="0.4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spans="1:46" ht="15.75" customHeight="1" x14ac:dyDescent="0.4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spans="1:46" ht="15.75" customHeight="1" x14ac:dyDescent="0.4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spans="1:46" ht="15.75" customHeight="1" x14ac:dyDescent="0.4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spans="1:46" ht="15.75" customHeight="1" x14ac:dyDescent="0.4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spans="1:46" ht="15.75" customHeight="1" x14ac:dyDescent="0.4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spans="1:46" ht="15.75" customHeight="1" x14ac:dyDescent="0.4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spans="1:46" ht="15.75" customHeight="1" x14ac:dyDescent="0.4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spans="1:46" ht="15.75" customHeight="1" x14ac:dyDescent="0.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spans="1:46" ht="15.75" customHeight="1" x14ac:dyDescent="0.4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spans="1:46" ht="15.75" customHeight="1" x14ac:dyDescent="0.4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spans="1:46" ht="15.75" customHeight="1" x14ac:dyDescent="0.4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spans="1:46" ht="15.75" customHeight="1" x14ac:dyDescent="0.4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spans="1:46" ht="15.75" customHeight="1" x14ac:dyDescent="0.4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spans="1:46" ht="15.75" customHeight="1" x14ac:dyDescent="0.4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spans="1:46" ht="15.75" customHeight="1" x14ac:dyDescent="0.4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spans="1:46" ht="15.75" customHeight="1" x14ac:dyDescent="0.4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spans="1:46" ht="15.75" customHeight="1" x14ac:dyDescent="0.4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spans="1:46" ht="15.75" customHeight="1" x14ac:dyDescent="0.4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spans="1:46" ht="15.75" customHeight="1" x14ac:dyDescent="0.4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spans="1:46" ht="15.75" customHeight="1" x14ac:dyDescent="0.4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spans="1:46" ht="15.75" customHeight="1" x14ac:dyDescent="0.4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spans="1:46" ht="15.75" customHeight="1" x14ac:dyDescent="0.4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spans="1:46" ht="15.75" customHeight="1" x14ac:dyDescent="0.4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spans="1:46" ht="15.75" customHeight="1" x14ac:dyDescent="0.4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spans="1:46" ht="15.75" customHeight="1" x14ac:dyDescent="0.4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spans="1:46" ht="15.75" customHeight="1" x14ac:dyDescent="0.4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spans="1:46" ht="15.75" customHeight="1" x14ac:dyDescent="0.4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spans="1:46" ht="15.75" customHeight="1" x14ac:dyDescent="0.4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spans="1:46" ht="15.75" customHeight="1" x14ac:dyDescent="0.4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spans="1:46" ht="15.75" customHeight="1" x14ac:dyDescent="0.4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spans="1:46" ht="15.75" customHeight="1" x14ac:dyDescent="0.4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spans="1:46" ht="15.75" customHeight="1" x14ac:dyDescent="0.4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spans="1:46" ht="15.75" customHeight="1" x14ac:dyDescent="0.4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spans="1:46" ht="15.75" customHeight="1" x14ac:dyDescent="0.4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spans="1:46" ht="26.25" customHeight="1" x14ac:dyDescent="0.45">
      <c r="A172" s="27"/>
      <c r="B172" s="27"/>
      <c r="C172" s="53" t="s">
        <v>157</v>
      </c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spans="1:46" ht="15.75" customHeight="1" x14ac:dyDescent="0.45">
      <c r="A173" s="27"/>
      <c r="B173" s="27"/>
      <c r="C173" s="53" t="s">
        <v>123</v>
      </c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spans="1:46" ht="15.75" customHeight="1" x14ac:dyDescent="0.45">
      <c r="A174" s="27"/>
      <c r="B174" s="27"/>
      <c r="C174" s="20" t="s">
        <v>158</v>
      </c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spans="1:46" ht="15.75" customHeight="1" x14ac:dyDescent="0.45">
      <c r="A175" s="27"/>
      <c r="B175" s="27"/>
      <c r="C175" s="53" t="s">
        <v>125</v>
      </c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spans="1:46" ht="15.75" customHeight="1" x14ac:dyDescent="0.45">
      <c r="A176" s="27"/>
      <c r="B176" s="27"/>
      <c r="C176" s="20" t="s">
        <v>159</v>
      </c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spans="1:46" ht="15.75" customHeight="1" x14ac:dyDescent="0.45">
      <c r="A177" s="27"/>
      <c r="B177" s="27"/>
      <c r="C177" s="27" t="s">
        <v>160</v>
      </c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spans="1:46" ht="15.75" customHeight="1" x14ac:dyDescent="0.4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spans="1:46" ht="15.75" customHeight="1" x14ac:dyDescent="0.45">
      <c r="A179" s="27"/>
      <c r="B179" s="27"/>
      <c r="C179" s="27" t="s">
        <v>161</v>
      </c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spans="1:46" ht="15.75" customHeight="1" x14ac:dyDescent="0.45">
      <c r="A180" s="27"/>
      <c r="B180" s="27"/>
      <c r="C180" s="27" t="s">
        <v>162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spans="1:46" ht="15.75" customHeight="1" x14ac:dyDescent="0.45">
      <c r="A181" s="27"/>
      <c r="B181" s="27"/>
      <c r="C181" s="27" t="s">
        <v>163</v>
      </c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spans="1:46" ht="15.75" customHeight="1" x14ac:dyDescent="0.45">
      <c r="A182" s="27"/>
      <c r="B182" s="27"/>
      <c r="C182" s="27" t="s">
        <v>164</v>
      </c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spans="1:46" ht="15.75" customHeight="1" x14ac:dyDescent="0.45">
      <c r="A183" s="27"/>
      <c r="B183" s="27"/>
      <c r="C183" s="27" t="s">
        <v>165</v>
      </c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spans="1:46" ht="15.75" customHeight="1" x14ac:dyDescent="0.45">
      <c r="A184" s="27"/>
      <c r="B184" s="27"/>
      <c r="C184" s="27" t="s">
        <v>166</v>
      </c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spans="1:46" ht="15.75" customHeight="1" x14ac:dyDescent="0.4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spans="1:46" ht="15.75" customHeight="1" x14ac:dyDescent="0.45">
      <c r="A186" s="27"/>
      <c r="B186" s="27"/>
      <c r="C186" s="27" t="s">
        <v>167</v>
      </c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spans="1:46" ht="15.75" customHeight="1" x14ac:dyDescent="0.45">
      <c r="A187" s="27"/>
      <c r="B187" s="27"/>
      <c r="C187" s="27" t="s">
        <v>168</v>
      </c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spans="1:46" ht="15.75" customHeight="1" x14ac:dyDescent="0.45">
      <c r="A188" s="27"/>
      <c r="B188" s="27"/>
      <c r="C188" s="27" t="s">
        <v>169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spans="1:46" ht="15.75" customHeight="1" x14ac:dyDescent="0.45">
      <c r="A189" s="27"/>
      <c r="B189" s="27"/>
      <c r="C189" s="27" t="s">
        <v>170</v>
      </c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spans="1:46" ht="15.75" customHeight="1" x14ac:dyDescent="0.4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spans="1:46" ht="15.75" customHeight="1" x14ac:dyDescent="0.45">
      <c r="A191" s="27"/>
      <c r="B191" s="27"/>
      <c r="C191" s="27" t="s">
        <v>171</v>
      </c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spans="1:46" ht="15.75" customHeight="1" x14ac:dyDescent="0.45">
      <c r="A192" s="27"/>
      <c r="B192" s="27"/>
      <c r="C192" s="27" t="s">
        <v>172</v>
      </c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spans="1:46" ht="15.75" customHeight="1" x14ac:dyDescent="0.45">
      <c r="A193" s="27"/>
      <c r="B193" s="27"/>
      <c r="C193" s="27" t="s">
        <v>173</v>
      </c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spans="1:46" ht="15.75" customHeight="1" x14ac:dyDescent="0.45">
      <c r="A194" s="27"/>
      <c r="B194" s="27"/>
      <c r="C194" s="27" t="s">
        <v>174</v>
      </c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spans="1:46" ht="15.75" customHeight="1" x14ac:dyDescent="0.45">
      <c r="A195" s="27"/>
      <c r="B195" s="27"/>
      <c r="C195" s="27" t="s">
        <v>175</v>
      </c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spans="1:46" ht="15.75" customHeight="1" x14ac:dyDescent="0.45">
      <c r="A196" s="27"/>
      <c r="B196" s="27"/>
      <c r="C196" s="27" t="s">
        <v>176</v>
      </c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spans="1:46" ht="15.75" customHeight="1" x14ac:dyDescent="0.45">
      <c r="A197" s="27"/>
      <c r="B197" s="27"/>
      <c r="C197" s="27" t="s">
        <v>177</v>
      </c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spans="1:46" ht="15.75" customHeight="1" x14ac:dyDescent="0.4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spans="1:46" ht="31.5" customHeight="1" x14ac:dyDescent="0.45">
      <c r="A199" s="27"/>
      <c r="B199" s="27"/>
      <c r="C199" s="53" t="s">
        <v>178</v>
      </c>
      <c r="D199" s="62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spans="1:46" ht="15.75" customHeight="1" x14ac:dyDescent="0.45">
      <c r="A200" s="27"/>
      <c r="B200" s="27"/>
      <c r="C200" s="53" t="s">
        <v>123</v>
      </c>
      <c r="D200" s="62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spans="1:46" ht="15.75" customHeight="1" x14ac:dyDescent="0.45">
      <c r="A201" s="27"/>
      <c r="B201" s="27"/>
      <c r="C201" s="27" t="s">
        <v>179</v>
      </c>
      <c r="D201" s="62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spans="1:46" ht="15.75" customHeight="1" x14ac:dyDescent="0.45">
      <c r="A202" s="27"/>
      <c r="B202" s="27"/>
      <c r="C202" s="53" t="s">
        <v>125</v>
      </c>
      <c r="D202" s="62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spans="1:46" ht="15.75" customHeight="1" x14ac:dyDescent="0.45">
      <c r="A203" s="27"/>
      <c r="B203" s="27"/>
      <c r="C203" s="20" t="s">
        <v>180</v>
      </c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spans="1:46" ht="15.75" customHeight="1" x14ac:dyDescent="0.45">
      <c r="A204" s="27"/>
      <c r="B204" s="27"/>
      <c r="C204" s="27" t="s">
        <v>181</v>
      </c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spans="1:46" ht="15.75" customHeight="1" x14ac:dyDescent="0.45">
      <c r="A205" s="27"/>
      <c r="B205" s="27"/>
      <c r="C205" s="53" t="s">
        <v>182</v>
      </c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spans="1:46" ht="15.75" customHeight="1" x14ac:dyDescent="0.45">
      <c r="A206" s="27"/>
      <c r="B206" s="27"/>
      <c r="C206" s="27" t="s">
        <v>183</v>
      </c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spans="1:46" ht="15.75" customHeight="1" x14ac:dyDescent="0.4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spans="1:46" ht="15.75" customHeight="1" x14ac:dyDescent="0.45">
      <c r="A208" s="27"/>
      <c r="B208" s="27"/>
      <c r="C208" s="27" t="s">
        <v>184</v>
      </c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spans="1:46" ht="15.75" customHeight="1" x14ac:dyDescent="0.45">
      <c r="A209" s="27"/>
      <c r="B209" s="27"/>
      <c r="C209" s="27" t="s">
        <v>185</v>
      </c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spans="1:46" ht="15.75" customHeight="1" x14ac:dyDescent="0.45">
      <c r="A210" s="27"/>
      <c r="B210" s="27"/>
      <c r="C210" s="27" t="s">
        <v>186</v>
      </c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spans="1:46" ht="15.75" customHeight="1" x14ac:dyDescent="0.45">
      <c r="A211" s="27"/>
      <c r="B211" s="27"/>
      <c r="C211" s="27" t="s">
        <v>187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spans="1:46" ht="15.75" customHeight="1" x14ac:dyDescent="0.45">
      <c r="A212" s="27"/>
      <c r="B212" s="27"/>
      <c r="C212" s="27" t="s">
        <v>188</v>
      </c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spans="1:46" ht="15.75" customHeight="1" x14ac:dyDescent="0.4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spans="1:46" ht="15.75" customHeight="1" x14ac:dyDescent="0.45">
      <c r="A214" s="27"/>
      <c r="B214" s="27"/>
      <c r="C214" s="27" t="s">
        <v>189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spans="1:46" ht="15.75" customHeight="1" x14ac:dyDescent="0.45">
      <c r="A215" s="27"/>
      <c r="B215" s="27"/>
      <c r="C215" s="27" t="s">
        <v>190</v>
      </c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spans="1:46" ht="15.75" customHeight="1" x14ac:dyDescent="0.45">
      <c r="A216" s="27"/>
      <c r="B216" s="27"/>
      <c r="C216" s="27" t="s">
        <v>191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spans="1:46" ht="15.75" customHeight="1" x14ac:dyDescent="0.45">
      <c r="A217" s="27"/>
      <c r="B217" s="27"/>
      <c r="C217" s="27" t="s">
        <v>192</v>
      </c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spans="1:46" ht="15.75" customHeight="1" x14ac:dyDescent="0.45">
      <c r="A218" s="27"/>
      <c r="B218" s="27"/>
      <c r="C218" s="27" t="s">
        <v>193</v>
      </c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spans="1:46" ht="15.75" customHeight="1" x14ac:dyDescent="0.4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spans="1:46" ht="15.75" customHeight="1" x14ac:dyDescent="0.45">
      <c r="A220" s="27"/>
      <c r="B220" s="27"/>
      <c r="C220" s="27" t="s">
        <v>194</v>
      </c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spans="1:46" ht="15.75" customHeight="1" x14ac:dyDescent="0.45">
      <c r="A221" s="27"/>
      <c r="B221" s="27"/>
      <c r="C221" s="27" t="s">
        <v>195</v>
      </c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</row>
    <row r="222" spans="1:46" ht="15.75" customHeight="1" x14ac:dyDescent="0.45">
      <c r="A222" s="27"/>
      <c r="B222" s="27"/>
      <c r="C222" s="27" t="s">
        <v>196</v>
      </c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</row>
    <row r="223" spans="1:46" ht="15.75" customHeight="1" x14ac:dyDescent="0.4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</row>
    <row r="224" spans="1:46" ht="15.75" customHeight="1" x14ac:dyDescent="0.45">
      <c r="A224" s="27"/>
      <c r="B224" s="27"/>
      <c r="C224" s="27" t="s">
        <v>197</v>
      </c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</row>
    <row r="225" spans="1:46" ht="15.75" customHeight="1" x14ac:dyDescent="0.45">
      <c r="A225" s="27"/>
      <c r="B225" s="27"/>
      <c r="C225" s="27" t="s">
        <v>198</v>
      </c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</row>
    <row r="226" spans="1:46" ht="15.75" customHeight="1" x14ac:dyDescent="0.45">
      <c r="A226" s="27"/>
      <c r="B226" s="27"/>
      <c r="C226" s="27" t="s">
        <v>199</v>
      </c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</row>
    <row r="227" spans="1:46" ht="15.75" customHeight="1" x14ac:dyDescent="0.45">
      <c r="A227" s="27"/>
      <c r="B227" s="27"/>
      <c r="C227" s="27" t="s">
        <v>200</v>
      </c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</row>
    <row r="228" spans="1:46" ht="15.75" customHeight="1" x14ac:dyDescent="0.45">
      <c r="A228" s="27"/>
      <c r="B228" s="27"/>
      <c r="C228" s="27" t="s">
        <v>201</v>
      </c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</row>
    <row r="229" spans="1:46" ht="15.75" customHeight="1" x14ac:dyDescent="0.4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</row>
    <row r="230" spans="1:46" ht="15.75" customHeight="1" x14ac:dyDescent="0.45">
      <c r="A230" s="27"/>
      <c r="B230" s="27"/>
      <c r="C230" s="27" t="s">
        <v>202</v>
      </c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</row>
    <row r="231" spans="1:46" ht="15.75" customHeight="1" x14ac:dyDescent="0.45">
      <c r="A231" s="27"/>
      <c r="B231" s="27"/>
      <c r="C231" s="27" t="s">
        <v>203</v>
      </c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</row>
    <row r="232" spans="1:46" ht="15.75" customHeight="1" x14ac:dyDescent="0.45">
      <c r="A232" s="27"/>
      <c r="B232" s="27"/>
      <c r="C232" s="27" t="s">
        <v>204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</row>
    <row r="233" spans="1:46" ht="15.75" customHeight="1" x14ac:dyDescent="0.45">
      <c r="A233" s="27"/>
      <c r="B233" s="27"/>
      <c r="C233" s="27" t="s">
        <v>205</v>
      </c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</row>
    <row r="234" spans="1:46" ht="15.75" customHeight="1" x14ac:dyDescent="0.45">
      <c r="A234" s="27"/>
      <c r="B234" s="27"/>
      <c r="C234" s="27" t="s">
        <v>206</v>
      </c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</row>
    <row r="235" spans="1:46" ht="15.75" customHeight="1" x14ac:dyDescent="0.45">
      <c r="A235" s="27"/>
      <c r="B235" s="27"/>
      <c r="C235" s="27" t="s">
        <v>207</v>
      </c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</row>
    <row r="236" spans="1:46" ht="15.75" customHeight="1" x14ac:dyDescent="0.4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</row>
    <row r="237" spans="1:46" ht="15.75" customHeight="1" x14ac:dyDescent="0.45">
      <c r="A237" s="27"/>
      <c r="B237" s="27"/>
      <c r="C237" s="27" t="s">
        <v>208</v>
      </c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</row>
    <row r="238" spans="1:46" ht="15.75" customHeight="1" x14ac:dyDescent="0.45">
      <c r="A238" s="27"/>
      <c r="B238" s="27"/>
      <c r="C238" s="27" t="s">
        <v>209</v>
      </c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</row>
    <row r="239" spans="1:46" ht="15.75" customHeight="1" x14ac:dyDescent="0.4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</row>
    <row r="240" spans="1:46" ht="15.75" customHeight="1" x14ac:dyDescent="0.45">
      <c r="A240" s="27"/>
      <c r="B240" s="27"/>
      <c r="C240" s="27" t="s">
        <v>210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</row>
    <row r="241" spans="1:46" ht="15.75" customHeight="1" x14ac:dyDescent="0.45">
      <c r="A241" s="27"/>
      <c r="B241" s="27"/>
      <c r="C241" s="27" t="s">
        <v>211</v>
      </c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</row>
    <row r="242" spans="1:46" ht="15.75" customHeight="1" x14ac:dyDescent="0.45">
      <c r="A242" s="27"/>
      <c r="B242" s="27"/>
      <c r="C242" s="27" t="s">
        <v>212</v>
      </c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spans="1:46" ht="15.75" customHeight="1" x14ac:dyDescent="0.4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</row>
    <row r="244" spans="1:46" ht="15.75" customHeight="1" x14ac:dyDescent="0.45">
      <c r="A244" s="27"/>
      <c r="B244" s="27"/>
      <c r="C244" s="27" t="s">
        <v>213</v>
      </c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spans="1:46" ht="15.75" customHeight="1" x14ac:dyDescent="0.45">
      <c r="A245" s="27"/>
      <c r="B245" s="27"/>
      <c r="C245" s="27" t="s">
        <v>214</v>
      </c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</row>
    <row r="246" spans="1:46" ht="15.75" customHeight="1" x14ac:dyDescent="0.45">
      <c r="A246" s="27"/>
      <c r="B246" s="27"/>
      <c r="C246" s="27" t="s">
        <v>215</v>
      </c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</row>
    <row r="247" spans="1:46" ht="15.75" customHeight="1" x14ac:dyDescent="0.45">
      <c r="A247" s="27"/>
      <c r="B247" s="27"/>
      <c r="C247" s="27" t="s">
        <v>216</v>
      </c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</row>
    <row r="248" spans="1:46" ht="15.75" customHeight="1" x14ac:dyDescent="0.4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</row>
    <row r="249" spans="1:46" ht="15.75" customHeight="1" x14ac:dyDescent="0.45">
      <c r="A249" s="27"/>
      <c r="B249" s="27"/>
      <c r="C249" s="27" t="s">
        <v>217</v>
      </c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</row>
    <row r="250" spans="1:46" ht="15.75" customHeight="1" x14ac:dyDescent="0.4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</row>
    <row r="251" spans="1:46" ht="15.75" customHeight="1" x14ac:dyDescent="0.45">
      <c r="A251" s="27"/>
      <c r="B251" s="27"/>
      <c r="C251" s="27" t="s">
        <v>218</v>
      </c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</row>
    <row r="252" spans="1:46" ht="15.75" customHeight="1" x14ac:dyDescent="0.45">
      <c r="A252" s="27"/>
      <c r="B252" s="27"/>
      <c r="C252" s="27" t="s">
        <v>214</v>
      </c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</row>
    <row r="253" spans="1:46" ht="15.75" customHeight="1" x14ac:dyDescent="0.45">
      <c r="A253" s="27"/>
      <c r="B253" s="27"/>
      <c r="C253" s="27" t="s">
        <v>215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</row>
    <row r="254" spans="1:46" ht="15.75" customHeight="1" x14ac:dyDescent="0.45">
      <c r="A254" s="27"/>
      <c r="B254" s="27"/>
      <c r="C254" s="27" t="s">
        <v>219</v>
      </c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</row>
    <row r="255" spans="1:46" ht="15.75" customHeight="1" x14ac:dyDescent="0.45">
      <c r="A255" s="27"/>
      <c r="B255" s="27"/>
      <c r="C255" s="27" t="s">
        <v>220</v>
      </c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</row>
    <row r="256" spans="1:46" ht="15.75" customHeight="1" x14ac:dyDescent="0.45">
      <c r="A256" s="27"/>
      <c r="B256" s="27"/>
      <c r="C256" s="27" t="s">
        <v>221</v>
      </c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</row>
    <row r="257" spans="1:46" ht="15.75" customHeight="1" x14ac:dyDescent="0.45">
      <c r="A257" s="27"/>
      <c r="B257" s="27"/>
      <c r="C257" s="27" t="s">
        <v>216</v>
      </c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</row>
    <row r="258" spans="1:46" ht="15.75" customHeight="1" x14ac:dyDescent="0.45">
      <c r="A258" s="27"/>
      <c r="B258" s="27"/>
      <c r="C258" s="27" t="s">
        <v>222</v>
      </c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spans="1:46" ht="15.75" customHeight="1" x14ac:dyDescent="0.45">
      <c r="A259" s="27"/>
      <c r="B259" s="27"/>
      <c r="C259" s="27" t="s">
        <v>223</v>
      </c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</row>
    <row r="260" spans="1:46" ht="15.75" customHeight="1" x14ac:dyDescent="0.45">
      <c r="A260" s="27"/>
      <c r="B260" s="27"/>
      <c r="C260" s="27" t="s">
        <v>224</v>
      </c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</row>
    <row r="261" spans="1:46" ht="15.75" customHeight="1" x14ac:dyDescent="0.45">
      <c r="A261" s="27"/>
      <c r="B261" s="27"/>
      <c r="C261" s="27" t="s">
        <v>225</v>
      </c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</row>
    <row r="262" spans="1:46" ht="15.75" customHeight="1" x14ac:dyDescent="0.45">
      <c r="A262" s="27"/>
      <c r="B262" s="27"/>
      <c r="C262" s="27" t="s">
        <v>226</v>
      </c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</row>
    <row r="263" spans="1:46" ht="15.75" customHeight="1" x14ac:dyDescent="0.45">
      <c r="A263" s="27"/>
      <c r="B263" s="27"/>
      <c r="C263" s="27" t="s">
        <v>177</v>
      </c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</row>
    <row r="264" spans="1:46" ht="23.25" customHeight="1" x14ac:dyDescent="0.45">
      <c r="A264" s="27"/>
      <c r="B264" s="27"/>
      <c r="C264" s="53" t="s">
        <v>227</v>
      </c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</row>
    <row r="265" spans="1:46" ht="15.75" customHeight="1" x14ac:dyDescent="0.45">
      <c r="A265" s="27"/>
      <c r="B265" s="27"/>
      <c r="C265" s="53" t="s">
        <v>123</v>
      </c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</row>
    <row r="266" spans="1:46" ht="15.75" customHeight="1" x14ac:dyDescent="0.45">
      <c r="A266" s="27"/>
      <c r="B266" s="27"/>
      <c r="C266" s="54" t="s">
        <v>228</v>
      </c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</row>
    <row r="267" spans="1:46" ht="15.75" customHeight="1" x14ac:dyDescent="0.45">
      <c r="A267" s="27"/>
      <c r="B267" s="27"/>
      <c r="C267" s="53" t="s">
        <v>125</v>
      </c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</row>
    <row r="268" spans="1:46" ht="15.75" customHeight="1" x14ac:dyDescent="0.45">
      <c r="A268" s="27"/>
      <c r="B268" s="27"/>
      <c r="C268" s="20" t="s">
        <v>229</v>
      </c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</row>
    <row r="269" spans="1:46" ht="15.75" customHeight="1" x14ac:dyDescent="0.45">
      <c r="A269" s="27"/>
      <c r="B269" s="27"/>
      <c r="C269" s="27" t="s">
        <v>230</v>
      </c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</row>
    <row r="270" spans="1:46" ht="15.75" customHeight="1" x14ac:dyDescent="0.45">
      <c r="A270" s="27"/>
      <c r="B270" s="27"/>
      <c r="C270" s="53" t="s">
        <v>182</v>
      </c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</row>
    <row r="271" spans="1:46" ht="15.75" customHeight="1" x14ac:dyDescent="0.45">
      <c r="A271" s="27"/>
      <c r="B271" s="27"/>
      <c r="C271" s="27" t="s">
        <v>231</v>
      </c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</row>
    <row r="272" spans="1:46" ht="15.75" customHeight="1" x14ac:dyDescent="0.45">
      <c r="A272" s="27"/>
      <c r="B272" s="27"/>
      <c r="C272" s="53" t="s">
        <v>232</v>
      </c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</row>
    <row r="273" spans="1:46" ht="15.75" customHeight="1" x14ac:dyDescent="0.45">
      <c r="A273" s="27"/>
      <c r="B273" s="27"/>
      <c r="C273" s="20" t="s">
        <v>233</v>
      </c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</row>
    <row r="274" spans="1:46" ht="15.75" customHeight="1" x14ac:dyDescent="0.45">
      <c r="A274" s="27"/>
      <c r="B274" s="27"/>
      <c r="C274" s="27" t="s">
        <v>234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</row>
    <row r="275" spans="1:46" ht="15.75" customHeight="1" x14ac:dyDescent="0.45">
      <c r="A275" s="27"/>
      <c r="B275" s="27"/>
      <c r="C275" s="53" t="s">
        <v>137</v>
      </c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</row>
    <row r="276" spans="1:46" ht="15" customHeight="1" x14ac:dyDescent="0.45">
      <c r="A276" s="27"/>
      <c r="B276" s="27"/>
      <c r="C276" s="54" t="s">
        <v>235</v>
      </c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</row>
    <row r="277" spans="1:46" ht="15.75" customHeight="1" x14ac:dyDescent="0.45">
      <c r="A277" s="27"/>
      <c r="B277" s="27"/>
      <c r="C277" s="27" t="s">
        <v>236</v>
      </c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</row>
    <row r="278" spans="1:46" ht="15.75" customHeight="1" x14ac:dyDescent="0.45">
      <c r="A278" s="27"/>
      <c r="B278" s="27"/>
      <c r="C278" s="27" t="s">
        <v>237</v>
      </c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</row>
    <row r="279" spans="1:46" ht="15.75" customHeight="1" x14ac:dyDescent="0.45">
      <c r="A279" s="27"/>
      <c r="B279" s="27"/>
      <c r="C279" s="27" t="s">
        <v>238</v>
      </c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</row>
    <row r="280" spans="1:46" ht="15.75" customHeight="1" x14ac:dyDescent="0.45">
      <c r="A280" s="27"/>
      <c r="B280" s="27"/>
      <c r="C280" s="27" t="s">
        <v>239</v>
      </c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</row>
    <row r="281" spans="1:46" ht="15.75" customHeight="1" x14ac:dyDescent="0.45">
      <c r="A281" s="27"/>
      <c r="B281" s="27"/>
      <c r="C281" s="27" t="s">
        <v>240</v>
      </c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</row>
    <row r="282" spans="1:46" ht="15.75" customHeight="1" x14ac:dyDescent="0.45">
      <c r="A282" s="27"/>
      <c r="B282" s="27"/>
      <c r="C282" s="27" t="s">
        <v>241</v>
      </c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</row>
    <row r="283" spans="1:46" ht="15.75" customHeight="1" x14ac:dyDescent="0.4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</row>
    <row r="284" spans="1:46" ht="15.75" customHeight="1" x14ac:dyDescent="0.45">
      <c r="A284" s="27"/>
      <c r="B284" s="27"/>
      <c r="C284" s="27" t="s">
        <v>242</v>
      </c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</row>
    <row r="285" spans="1:46" ht="15.75" customHeight="1" x14ac:dyDescent="0.45">
      <c r="A285" s="27"/>
      <c r="B285" s="27"/>
      <c r="C285" s="27" t="s">
        <v>177</v>
      </c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</row>
    <row r="286" spans="1:46" ht="15.75" customHeight="1" x14ac:dyDescent="0.45">
      <c r="A286" s="27"/>
      <c r="B286" s="27"/>
      <c r="C286" s="27" t="s">
        <v>243</v>
      </c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</row>
    <row r="287" spans="1:46" ht="15.75" customHeight="1" x14ac:dyDescent="0.45">
      <c r="A287" s="27"/>
      <c r="B287" s="27"/>
      <c r="C287" s="27" t="s">
        <v>244</v>
      </c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</row>
    <row r="288" spans="1:46" ht="15.75" customHeight="1" x14ac:dyDescent="0.45">
      <c r="A288" s="27"/>
      <c r="B288" s="27"/>
      <c r="C288" s="27" t="s">
        <v>245</v>
      </c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</row>
    <row r="289" spans="1:46" ht="15.75" customHeight="1" x14ac:dyDescent="0.45">
      <c r="A289" s="27"/>
      <c r="B289" s="27"/>
      <c r="C289" s="27" t="s">
        <v>246</v>
      </c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</row>
    <row r="290" spans="1:46" ht="15.75" customHeight="1" x14ac:dyDescent="0.45">
      <c r="A290" s="27"/>
      <c r="B290" s="27"/>
      <c r="C290" s="27" t="s">
        <v>247</v>
      </c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</row>
    <row r="291" spans="1:46" ht="15.75" customHeight="1" x14ac:dyDescent="0.4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</row>
    <row r="292" spans="1:46" ht="15.75" customHeight="1" x14ac:dyDescent="0.45">
      <c r="A292" s="27"/>
      <c r="B292" s="27"/>
      <c r="C292" s="27" t="s">
        <v>248</v>
      </c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</row>
    <row r="293" spans="1:46" ht="15.75" customHeight="1" x14ac:dyDescent="0.45">
      <c r="A293" s="27"/>
      <c r="B293" s="27"/>
      <c r="C293" s="27" t="s">
        <v>249</v>
      </c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</row>
    <row r="294" spans="1:46" ht="15.75" customHeight="1" x14ac:dyDescent="0.45">
      <c r="A294" s="27"/>
      <c r="B294" s="27"/>
      <c r="C294" s="27" t="s">
        <v>250</v>
      </c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</row>
    <row r="295" spans="1:46" ht="15.75" customHeight="1" x14ac:dyDescent="0.45">
      <c r="A295" s="27"/>
      <c r="B295" s="27"/>
      <c r="C295" s="27" t="s">
        <v>251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</row>
    <row r="296" spans="1:46" ht="15.75" customHeight="1" x14ac:dyDescent="0.45">
      <c r="A296" s="27"/>
      <c r="B296" s="27"/>
      <c r="C296" s="27" t="s">
        <v>252</v>
      </c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</row>
    <row r="297" spans="1:46" ht="15.75" customHeight="1" x14ac:dyDescent="0.4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</row>
    <row r="298" spans="1:46" ht="15.75" customHeight="1" x14ac:dyDescent="0.45">
      <c r="A298" s="27"/>
      <c r="B298" s="27"/>
      <c r="C298" s="27" t="s">
        <v>248</v>
      </c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</row>
    <row r="299" spans="1:46" ht="15.75" customHeight="1" x14ac:dyDescent="0.45">
      <c r="A299" s="27"/>
      <c r="B299" s="27"/>
      <c r="C299" s="27" t="s">
        <v>253</v>
      </c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</row>
    <row r="300" spans="1:46" ht="15.75" customHeight="1" x14ac:dyDescent="0.45">
      <c r="A300" s="27"/>
      <c r="B300" s="27"/>
      <c r="C300" s="27" t="s">
        <v>254</v>
      </c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</row>
    <row r="301" spans="1:46" ht="15.75" customHeight="1" x14ac:dyDescent="0.45">
      <c r="A301" s="27"/>
      <c r="B301" s="27"/>
      <c r="C301" s="27" t="s">
        <v>255</v>
      </c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</row>
    <row r="302" spans="1:46" ht="15.75" customHeight="1" x14ac:dyDescent="0.45">
      <c r="A302" s="27"/>
      <c r="B302" s="27"/>
      <c r="C302" s="27" t="s">
        <v>256</v>
      </c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</row>
    <row r="303" spans="1:46" ht="15.75" customHeight="1" x14ac:dyDescent="0.4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</row>
    <row r="304" spans="1:46" ht="15.75" customHeight="1" x14ac:dyDescent="0.4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</row>
    <row r="305" spans="1:46" ht="15.75" customHeight="1" x14ac:dyDescent="0.4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</row>
    <row r="306" spans="1:46" ht="15.75" customHeight="1" x14ac:dyDescent="0.45"/>
    <row r="307" spans="1:46" ht="15.75" customHeight="1" x14ac:dyDescent="0.45"/>
    <row r="308" spans="1:46" ht="15.75" customHeight="1" x14ac:dyDescent="0.45"/>
    <row r="309" spans="1:46" ht="15.75" customHeight="1" x14ac:dyDescent="0.45"/>
    <row r="310" spans="1:46" ht="15.75" customHeight="1" x14ac:dyDescent="0.45"/>
    <row r="311" spans="1:46" ht="15.75" customHeight="1" x14ac:dyDescent="0.45"/>
    <row r="312" spans="1:46" ht="15.75" customHeight="1" x14ac:dyDescent="0.45"/>
    <row r="313" spans="1:46" ht="15.75" customHeight="1" x14ac:dyDescent="0.45"/>
    <row r="314" spans="1:46" ht="15.75" customHeight="1" x14ac:dyDescent="0.45"/>
    <row r="315" spans="1:46" ht="15.75" customHeight="1" x14ac:dyDescent="0.45"/>
    <row r="316" spans="1:46" ht="15.75" customHeight="1" x14ac:dyDescent="0.45"/>
    <row r="317" spans="1:46" ht="15.75" customHeight="1" x14ac:dyDescent="0.45"/>
    <row r="318" spans="1:46" ht="15.75" customHeight="1" x14ac:dyDescent="0.45"/>
    <row r="319" spans="1:46" ht="15.75" customHeight="1" x14ac:dyDescent="0.45"/>
    <row r="320" spans="1:46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8">
    <mergeCell ref="Z1:AJ3"/>
    <mergeCell ref="AK1:AT3"/>
    <mergeCell ref="O3:U3"/>
    <mergeCell ref="A1:C3"/>
    <mergeCell ref="D1:J3"/>
    <mergeCell ref="K1:N3"/>
    <mergeCell ref="O1:U2"/>
    <mergeCell ref="V1:Y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01.Cover</vt:lpstr>
      <vt:lpstr>02.Revision_History</vt:lpstr>
      <vt:lpstr>TS.Content</vt:lpstr>
      <vt:lpstr>TS.Overview</vt:lpstr>
      <vt:lpstr>TS.Technical Details</vt:lpstr>
      <vt:lpstr>TS.Screen Layout</vt:lpstr>
      <vt:lpstr>TS.Processing Logic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văn đạt</cp:lastModifiedBy>
  <dcterms:modified xsi:type="dcterms:W3CDTF">2026-05-01T02:10:43Z</dcterms:modified>
  <cp:category/>
</cp:coreProperties>
</file>