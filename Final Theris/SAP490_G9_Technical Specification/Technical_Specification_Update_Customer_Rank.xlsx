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dat2\Downloads\"/>
    </mc:Choice>
  </mc:AlternateContent>
  <xr:revisionPtr revIDLastSave="0" documentId="13_ncr:1_{122A243D-ED82-4537-9BC1-BB38088A2770}" xr6:coauthVersionLast="47" xr6:coauthVersionMax="47" xr10:uidLastSave="{00000000-0000-0000-0000-000000000000}"/>
  <bookViews>
    <workbookView xWindow="-98" yWindow="-98" windowWidth="21795" windowHeight="12975" firstSheet="2" activeTab="6" xr2:uid="{00000000-000D-0000-FFFF-FFFF00000000}"/>
  </bookViews>
  <sheets>
    <sheet name="01.Cover" sheetId="1" r:id="rId1"/>
    <sheet name="02.Revision_History" sheetId="2" r:id="rId2"/>
    <sheet name="TS.Content" sheetId="3" r:id="rId3"/>
    <sheet name="TS.Overview" sheetId="4" r:id="rId4"/>
    <sheet name="TS.Technical Details" sheetId="5" r:id="rId5"/>
    <sheet name="TS.Screen Layout" sheetId="6" r:id="rId6"/>
    <sheet name="TS.Processing Logi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" i="7" l="1"/>
  <c r="O1" i="7"/>
  <c r="D1" i="7"/>
  <c r="Z1" i="6"/>
  <c r="O1" i="6"/>
  <c r="D1" i="6"/>
  <c r="Z1" i="5"/>
  <c r="O1" i="5"/>
  <c r="D1" i="5"/>
  <c r="Z1" i="4"/>
  <c r="O1" i="4"/>
  <c r="D1" i="4"/>
  <c r="Z1" i="3"/>
  <c r="O1" i="3"/>
  <c r="D1" i="3"/>
  <c r="Z1" i="2"/>
  <c r="O1" i="2"/>
  <c r="D1" i="2"/>
  <c r="AK13" i="1"/>
  <c r="Z1" i="1"/>
  <c r="O1" i="1"/>
  <c r="D1" i="1"/>
</calcChain>
</file>

<file path=xl/sharedStrings.xml><?xml version="1.0" encoding="utf-8"?>
<sst xmlns="http://schemas.openxmlformats.org/spreadsheetml/2006/main" count="277" uniqueCount="235">
  <si>
    <t>Docs_ID</t>
  </si>
  <si>
    <t>Sheet name</t>
  </si>
  <si>
    <t>Document</t>
  </si>
  <si>
    <t>Document_ID</t>
  </si>
  <si>
    <t>Version no</t>
  </si>
  <si>
    <t>1.0</t>
  </si>
  <si>
    <t>Last updated date</t>
  </si>
  <si>
    <t>Title</t>
  </si>
  <si>
    <t>Name</t>
  </si>
  <si>
    <t>Code</t>
  </si>
  <si>
    <t>Date</t>
  </si>
  <si>
    <t>Creator</t>
  </si>
  <si>
    <t>Reviewer</t>
  </si>
  <si>
    <t xml:space="preserve">Approver </t>
  </si>
  <si>
    <t>No</t>
  </si>
  <si>
    <t xml:space="preserve">Changing </t>
  </si>
  <si>
    <t>#</t>
  </si>
  <si>
    <t>Content</t>
  </si>
  <si>
    <t>Note</t>
  </si>
  <si>
    <t>1</t>
  </si>
  <si>
    <t>Overview</t>
  </si>
  <si>
    <t>2</t>
  </si>
  <si>
    <t>Technical Details</t>
  </si>
  <si>
    <t>3</t>
  </si>
  <si>
    <t>Screen Layout</t>
  </si>
  <si>
    <t>4</t>
  </si>
  <si>
    <t>Processing Logic</t>
  </si>
  <si>
    <t>I. Overview</t>
  </si>
  <si>
    <t>OBJECT OVERVIEW</t>
  </si>
  <si>
    <t>Technical Name</t>
  </si>
  <si>
    <t>Description</t>
  </si>
  <si>
    <t>Development Package</t>
  </si>
  <si>
    <t>Message Class</t>
  </si>
  <si>
    <t>Program Type</t>
  </si>
  <si>
    <t>Development Type (F/R/I/C/E)</t>
  </si>
  <si>
    <t>Processes / SAP Module</t>
  </si>
  <si>
    <t>SAP System / Release</t>
  </si>
  <si>
    <t>Priority (High/Medium/Low)</t>
  </si>
  <si>
    <t>Complexity (Simple/Medium/Complex/Very complex)</t>
  </si>
  <si>
    <t>2      Technical Details</t>
  </si>
  <si>
    <t>3     SCREEN LAYOUT</t>
  </si>
  <si>
    <t>Click save to save the quote.</t>
  </si>
  <si>
    <t>Display a message after successful saving.</t>
  </si>
  <si>
    <t>Notification in email</t>
  </si>
  <si>
    <t>4     PROCESSING LOGIC</t>
  </si>
  <si>
    <t xml:space="preserve">  DATA: lt_price_log TYPE STANDARD TABLE OF ztb_price_log,</t>
  </si>
  <si>
    <t xml:space="preserve">        ls_price_log TYPE ztb_price_log.</t>
  </si>
  <si>
    <t xml:space="preserve">  IF lcl_buffer=&gt;mt_updated_rfqs IS NOT INITIAL.</t>
  </si>
  <si>
    <t xml:space="preserve">    LOOP AT lcl_buffer=&gt;mt_updated_rfqs INTO DATA(ls_rfq_number).</t>
  </si>
  <si>
    <t xml:space="preserve">      CLEAR lt_rfq_input.</t>
  </si>
  <si>
    <t xml:space="preserve">      lt_rfq_input = CORRESPONDING #( lcl_buffer=&gt;mt_updated_services ).</t>
  </si>
  <si>
    <t xml:space="preserve">      CLEAR lt_price_log.</t>
  </si>
  <si>
    <t xml:space="preserve">      LOOP AT lt_rfq_input INTO ls_rfq_input</t>
  </si>
  <si>
    <t xml:space="preserve">           WHERE ebeln = ls_rfq_number-ebeln.</t>
  </si>
  <si>
    <t xml:space="preserve">        CLEAR ls_price_log.</t>
  </si>
  <si>
    <t xml:space="preserve">        TRY.</t>
  </si>
  <si>
    <t xml:space="preserve">            ls_price_log-guid = cl_system_uuid=&gt;create_uuid_x16_static( ).</t>
  </si>
  <si>
    <t xml:space="preserve">          CATCH cx_uuid_error.</t>
  </si>
  <si>
    <t xml:space="preserve">            CONTINUE.</t>
  </si>
  <si>
    <t xml:space="preserve">        ENDTRY.</t>
  </si>
  <si>
    <t xml:space="preserve">        ls_price_log-ebeln = ls_rfq_number-ebeln.</t>
  </si>
  <si>
    <t xml:space="preserve">        ls_price_log-ebelp = ls_rfq_input-ebelp.</t>
  </si>
  <si>
    <t xml:space="preserve">        ls_price_log-erdat = sy-datum.</t>
  </si>
  <si>
    <t xml:space="preserve">        ls_price_log-ernam = ls_rfq_number-ernam.</t>
  </si>
  <si>
    <t xml:space="preserve">        ls_price_log-ertim = sy-uzeit.</t>
  </si>
  <si>
    <t xml:space="preserve">        ls_price_log-issync = 'X'.</t>
  </si>
  <si>
    <t xml:space="preserve">        APPEND ls_price_log TO lt_price_log.</t>
  </si>
  <si>
    <t xml:space="preserve">      ENDLOOP.</t>
  </si>
  <si>
    <t xml:space="preserve">      IF lt_price_log IS NOT INITIAL.</t>
  </si>
  <si>
    <t xml:space="preserve">        MODIFY ztb_price_log FROM TABLE lt_price_log.</t>
  </si>
  <si>
    <t xml:space="preserve">      ENDIF.</t>
  </si>
  <si>
    <t xml:space="preserve">      CALL FUNCTION 'ZFM_MAINTAIN_RFQ' STARTING NEW TASK 'RFQ_UPDATE'</t>
  </si>
  <si>
    <t xml:space="preserve">        EXPORTING</t>
  </si>
  <si>
    <t xml:space="preserve">          iv_rfq_number = ls_rfq_number-ebeln</t>
  </si>
  <si>
    <t xml:space="preserve">          it_data       = lt_rfq_input.</t>
  </si>
  <si>
    <t xml:space="preserve">      DATA(lv_vendor) = VALUE #( lt_rfq_input[ 1 ]-lifnr OPTIONAL ).</t>
  </si>
  <si>
    <t xml:space="preserve">      CALL FUNCTION 'ZFM_SENDMAIL_G1_RESP' STARTING NEW TASK 'MAIL_API_SEND'</t>
  </si>
  <si>
    <t xml:space="preserve">          iv_vendor     = lv_vendor</t>
  </si>
  <si>
    <t xml:space="preserve">          iv_ernam      = ls_rfq_number-ernam</t>
  </si>
  <si>
    <t xml:space="preserve">        TABLES</t>
  </si>
  <si>
    <t xml:space="preserve">    ENDLOOP.</t>
  </si>
  <si>
    <t xml:space="preserve">    </t>
  </si>
  <si>
    <t xml:space="preserve">    CLEAR lcl_buffer=&gt;mt_updated_rfqs.</t>
  </si>
  <si>
    <t xml:space="preserve">    CLEAR lcl_buffer=&gt;mt_updated_services.</t>
  </si>
  <si>
    <t xml:space="preserve">  ENDIF.</t>
  </si>
  <si>
    <t>ENDMETHOD.</t>
  </si>
  <si>
    <t>4.4. Result Display</t>
  </si>
  <si>
    <t>Purpose</t>
  </si>
  <si>
    <t>To display the results of RFQ price updates to the user, including success messages, error notifications, and updated data in the Fiori UI.</t>
  </si>
  <si>
    <t>Logic</t>
  </si>
  <si>
    <t xml:space="preserve">After save operation completes, system returns result to UI with success or error messages. UI automatically refreshes to show updated prices and recalculated NetPrice/TotalPriceItem. </t>
  </si>
  <si>
    <t>Status indicators (Days Remaining, Status Criticality) are updated. If RFQ is Closed, update/delete buttons are disabled. Success notification appears and email is sent asynchronously.</t>
  </si>
  <si>
    <t>Input</t>
  </si>
  <si>
    <t>Save operation result, updated entity data, status information from Header.</t>
  </si>
  <si>
    <t>Preprocessing</t>
  </si>
  <si>
    <t xml:space="preserve">Map save result to UI response structure with success/error messages and updated entity keys. Calculate Days Remaining, determine StatusText (Overdue/Open/Closed), </t>
  </si>
  <si>
    <t>and set StatusCriticality (1=Overdue, 2=Open, 3=Closed) based on deadline and status.</t>
  </si>
  <si>
    <t>Error Handling</t>
  </si>
  <si>
    <t>Save failures return error messages to UI showing which records failed validation. Failed records remain in draft state. Display errors show error message allowing user to retry.</t>
  </si>
  <si>
    <t xml:space="preserve"> Status calculation errors use default values, setting status to 'Open' if calculation fails.</t>
  </si>
  <si>
    <t>METHOD read.</t>
  </si>
  <si>
    <t xml:space="preserve">  SELECT * FROM zi_rfq_head</t>
  </si>
  <si>
    <t xml:space="preserve">   FOR ALL ENTRIES IN @keys</t>
  </si>
  <si>
    <t xml:space="preserve">   WHERE RFQNumber = @keys-RFQNumber</t>
  </si>
  <si>
    <t xml:space="preserve">   INTO TABLE @DATA(lt_data).</t>
  </si>
  <si>
    <t xml:space="preserve">  result = CORRESPONDING #( lt_data ).</t>
  </si>
  <si>
    <t>case</t>
  </si>
  <si>
    <t xml:space="preserve">  when dats_days_between($session.system_date, ekko.angdt) &lt; 0 then 0</t>
  </si>
  <si>
    <t xml:space="preserve">  else</t>
  </si>
  <si>
    <t xml:space="preserve">    dats_days_between($session.system_date, ekko.angdt) </t>
  </si>
  <si>
    <t>end as DaysRemaining,</t>
  </si>
  <si>
    <t xml:space="preserve">case </t>
  </si>
  <si>
    <t xml:space="preserve">  when ekko.angdt &lt; $session.system_date then 'Overdue'</t>
  </si>
  <si>
    <t xml:space="preserve">  when ekko.statu = 'A' then 'Closed'</t>
  </si>
  <si>
    <t xml:space="preserve">  else 'Open'</t>
  </si>
  <si>
    <t>end as StatusText,</t>
  </si>
  <si>
    <t xml:space="preserve">  when ekko.angdt &lt; $session.system_date then 1</t>
  </si>
  <si>
    <t xml:space="preserve">  when ekko.statu = 'A' then 3</t>
  </si>
  <si>
    <t xml:space="preserve">  else 2</t>
  </si>
  <si>
    <t>end as StatusCriticality</t>
  </si>
  <si>
    <t>Technical Specification</t>
  </si>
  <si>
    <t>TS_ZCL_CUST_RANK_YTD_CDS</t>
  </si>
  <si>
    <t>2026-04-29</t>
  </si>
  <si>
    <t>Initial draft generated from user-provided code</t>
  </si>
  <si>
    <t>Section overview</t>
  </si>
  <si>
    <t>Architecture, tables, interfaces</t>
  </si>
  <si>
    <t>Background execution / N.A.</t>
  </si>
  <si>
    <t>Detailed logic and pseudo flow</t>
  </si>
  <si>
    <t>Object Name: ZCL_CUST_RANK_YTD_CDS</t>
  </si>
  <si>
    <t>ZCL_CUST_RANK_YTD_CDS</t>
  </si>
  <si>
    <t>Batch class for YTD customer rank calculation, logging, and email notification</t>
  </si>
  <si>
    <t>N/A</t>
  </si>
  <si>
    <t>ABAP Class / Batch Processing</t>
  </si>
  <si>
    <t>C</t>
  </si>
  <si>
    <t>SD / Customer Ranking / Loyalty</t>
  </si>
  <si>
    <t>ABAP Application Server</t>
  </si>
  <si>
    <t>High</t>
  </si>
  <si>
    <t>Complex</t>
  </si>
  <si>
    <t>2.1 Program Structure</t>
  </si>
  <si>
    <t>Custom class `ZCL_CUST_RANK_YTD_CDS` with entry method `RUN` for daily YTD customer rank processing.</t>
  </si>
  <si>
    <t>Main execution flow: `INIT_DATES` -&gt; `LOAD_RANK_CFG` -&gt; `LOAD_SALES_FROM_CDS` -&gt; `PROCESS_DAILY_YTD`.</t>
  </si>
  <si>
    <t>If run date is year end, method `PROCESS_YEAR_END_ROLLOVER` is executed after daily processing.</t>
  </si>
  <si>
    <t>Customer sales are read from CDS view `Z_I_CUSTOMERSSALESBYPERIOD` for company code `VTC1`.</t>
  </si>
  <si>
    <t>Rank determination is handled by `DETERMINE_RANK` based on amount and currency against `ZTB_RANK_CFG`.</t>
  </si>
  <si>
    <t>Current customer state is stored in `ZTB_CUST_RANK`; changes are logged in `ZTB_RANK_LOG`.</t>
  </si>
  <si>
    <t>Email notifications are prepared from SO10 templates and sent through function module `ZFM_G9_SEND_EMAIL`.</t>
  </si>
  <si>
    <t>Logging UUIDs are created by `CL_SYSTEM_UUID=&gt;CREATE_UUID_X16_STATIC`.</t>
  </si>
  <si>
    <t>The object is intended for background execution through report/job wrapper or scheduler.</t>
  </si>
  <si>
    <t>2.2 Key Components</t>
  </si>
  <si>
    <t>Internal tables/types: `TY_SALES`, `TT_SALES`, `TT_CFG`, `MT_SALES`, `MT_CFG`, `MT_KUNNR`.</t>
  </si>
  <si>
    <t>Date control attributes: `MV_RDATE`, `MV_YEAR`, `MV_DATE_FROM`, `MV_DATE_TO`, `MV_YEAR_END`, `MV_NEXT_DAY`.</t>
  </si>
  <si>
    <t>Custom tables: `ZTB_RANK_CFG`, `ZTB_CUST_RANK`, `ZTB_RANK_LOG`.</t>
  </si>
  <si>
    <t>CDS source: `Z_I_CUSTOMERSSALESBYPERIOD`.</t>
  </si>
  <si>
    <t>Text and email artifacts: SO10 templates `Z_EMAIL_CUST_RANK_UPGRADE`, `Z_EMAIL_RANK_POINT_UPGRADE`, FM `ZFM_G9_SEND_EMAIL`.</t>
  </si>
  <si>
    <t>Methods: `PROCESS_ONE_CUSTOMER`, `SAVE_LOG`, `SEND_EMAIL_NOTIFICATION`, `GET_CFG_BY_RANK`, `GET_DEFAULT_RANK`.</t>
  </si>
  <si>
    <t>2.3 Data Flow</t>
  </si>
  <si>
    <t>Step</t>
  </si>
  <si>
    <t>Details</t>
  </si>
  <si>
    <t>Initialize Dates</t>
  </si>
  <si>
    <t>Set current date, year boundaries, YTD start date, year-end date, and next-year start date.</t>
  </si>
  <si>
    <t>Load Rank Config</t>
  </si>
  <si>
    <t>Read active records from `ZTB_RANK_CFG` and sort by lower limit.</t>
  </si>
  <si>
    <t>Load YTD Sales</t>
  </si>
  <si>
    <t>Read customer YTD amount, currency, name, and email from CDS view.</t>
  </si>
  <si>
    <t>Group by Customer</t>
  </si>
  <si>
    <t>Loop through sorted sales and process each customer block in `PROCESS_ONE_CUSTOMER`.</t>
  </si>
  <si>
    <t>Validate Currency</t>
  </si>
  <si>
    <t>If a customer has more than one sales line/currency, write error log and skip.</t>
  </si>
  <si>
    <t>Determine Rank</t>
  </si>
  <si>
    <t>Find applicable rank configuration by amount and currency.</t>
  </si>
  <si>
    <t>Persist State</t>
  </si>
  <si>
    <t>Insert or update `ZTB_CUST_RANK` with amount, rank, validity, and year data.</t>
  </si>
  <si>
    <t>Log + Notify</t>
  </si>
  <si>
    <t>Write event to `ZTB_RANK_LOG` and send corresponding email template when applicable.</t>
  </si>
  <si>
    <t>Year-End Rollover</t>
  </si>
  <si>
    <t>Move current rank to secured rank, reset amount, and open next accumulation year.</t>
  </si>
  <si>
    <t>2.4 Error Handling</t>
  </si>
  <si>
    <t>Type</t>
  </si>
  <si>
    <t>Multi Currency</t>
  </si>
  <si>
    <t>If more than one sales row exists for a customer, event `ERROR_MULTI_CURRENCY` is logged and processing stops for that customer.</t>
  </si>
  <si>
    <t>Template / UUID Issues</t>
  </si>
  <si>
    <t>UUID creation failure stops only log insert; `READ_TEXT` failure is not fully handled in current code and should be completed.</t>
  </si>
  <si>
    <t>Open Technical Issues</t>
  </si>
  <si>
    <t>Current code contains a `RETURN` before `MODIFY` in rank-update branch and `MT_KUNNR` is not shown as populated in the provided code.</t>
  </si>
  <si>
    <t>2.5 Security</t>
  </si>
  <si>
    <t>Aspect</t>
  </si>
  <si>
    <t>Authorization &amp; Data</t>
  </si>
  <si>
    <t>Execution should be restricted to authorized batch/technical users because customer ranking, email addresses, and notification templates are business-sensitive data.</t>
  </si>
  <si>
    <t>2.6. SAP Reference Tables</t>
  </si>
  <si>
    <t>- `ZTB_RANK_CFG`: Rank configuration with active flag, lower/upper limits, unit, and rank id.</t>
  </si>
  <si>
    <t>- `ZTB_CUST_RANK`: Current customer rank state, amount, validity, secured rank, fixed-rank flag.</t>
  </si>
  <si>
    <t>- `ZTB_RANK_LOG`: Audit log for add/update/error/year-end events.</t>
  </si>
  <si>
    <t>- `Z_I_CUSTOMERSSALESBYPERIOD`: CDS returning customer YTD amount, currency, name, and email.</t>
  </si>
  <si>
    <t>- SO10 text object `TEXT`/ID `ST`: email templates read by `READ_TEXT`.</t>
  </si>
  <si>
    <t>No dedicated SAP GUI or Fiori screen. `ZCL_CUST_RANK_YTD_CDS` is a backend processing class designed for scheduled or wrapper-based execution.</t>
  </si>
  <si>
    <t>Execution trigger: typically called by batch job/report wrapper. Runtime behavior depends on system date and available YTD sales from the CDS source.</t>
  </si>
  <si>
    <t>Operational monitoring is performed through persistent tables `ZTB_CUST_RANK` and `ZTB_RANK_LOG`, plus outbound email results from `ZFM_G9_SEND_EMAIL`.</t>
  </si>
  <si>
    <t>User-facing output is indirect: customer rank state is updated in DB and notification emails are generated from SO10 templates when events occur.</t>
  </si>
  <si>
    <t>4.1 Daily YTD Processing</t>
  </si>
  <si>
    <t>Calculate current-year customer amount, determine rank, update persistent state, write logs, and send customer notifications.</t>
  </si>
  <si>
    <t>1. `INIT_DATES` calculates current year start, current run date, year-end date, and next-year date values.</t>
  </si>
  <si>
    <t>2. `LOAD_RANK_CFG` reads active rank configuration from `ZTB_RANK_CFG`.</t>
  </si>
  <si>
    <t>3. `LOAD_SALES_FROM_CDS` retrieves YTD customer sales from `Z_I_CUSTOMERSSALESBYPERIOD`.</t>
  </si>
  <si>
    <t>4. `PROCESS_DAILY_YTD` groups rows by customer and calls `PROCESS_ONE_CUSTOMER`.</t>
  </si>
  <si>
    <t>5. `PROCESS_ONE_CUSTOMER` validates single-currency rule and determines new rank by amount/currency.</t>
  </si>
  <si>
    <t>6. If customer does not exist in `ZTB_CUST_RANK`, insert a new record and send upgrade email.</t>
  </si>
  <si>
    <t>7. If amount changed and rank is fixed or unchanged, update amount and send points-update email.</t>
  </si>
  <si>
    <t>8. If amount changed and rank changed, update rank, write log, and send rank-update email.</t>
  </si>
  <si>
    <t>9. After processing all customers, execute `COMMIT WORK AND WAIT`.</t>
  </si>
  <si>
    <t>4.2 Year-End Rollover</t>
  </si>
  <si>
    <t>Reset annual accumulation and preserve previous rank information for the new year.</t>
  </si>
  <si>
    <t>1. If current date equals `MV_YEAR_END`, method `PROCESS_YEAR_END_ROLLOVER` is executed.</t>
  </si>
  <si>
    <t>2. Read all active records from `ZTB_CUST_RANK`.</t>
  </si>
  <si>
    <t>3. Skip customers with fixed rank (`IS_FIXED = 'X'`).</t>
  </si>
  <si>
    <t>4. Move current `RANK_ID` to `SECURED_RANK_ID`.</t>
  </si>
  <si>
    <t>5. Reset `RANK_ID` to blank and `TOTAL_AMOUNT` to zero.</t>
  </si>
  <si>
    <t>6. Update accumulation year, validity-from date, and keep record active.</t>
  </si>
  <si>
    <t>7. Save event `YEAR_END_ROLLOVER` in `ZTB_RANK_LOG`.</t>
  </si>
  <si>
    <t>4.3 Email Notification</t>
  </si>
  <si>
    <t>Send email to customer when a new rank is assigned or when YTD amount is updated.</t>
  </si>
  <si>
    <t>1. `SEND_EMAIL_NOTIFICATION` reads HTML template from SO10 using `READ_TEXT`.</t>
  </si>
  <si>
    <t>2. Format YTD amount by currency and concatenate text lines into HTML string.</t>
  </si>
  <si>
    <t>3. Replace template placeholders such as customer name, old/new rank, effective date, amount, and currency.</t>
  </si>
  <si>
    <t>4. Call function module `ZFM_G9_SEND_EMAIL` with recipient email, subject, and rendered content.</t>
  </si>
  <si>
    <t>- Multiple sales lines for a single customer are treated as multi-currency error and logged.</t>
  </si>
  <si>
    <t>- Missing rank configuration or empty sales set results in customer skip.</t>
  </si>
  <si>
    <t>- UUID creation errors prevent a single log record but do not stop overall processing.</t>
  </si>
  <si>
    <t>- `READ_TEXT` error handling is incomplete in the current code and should be finalized.</t>
  </si>
  <si>
    <t>- The provided code shows a potential defect: rank update branch returns before `MODIFY ZTB_CUST_RANK`.</t>
  </si>
  <si>
    <t>- The provided code also does not show where `MT_KUNNR` is filled before CDS selection.</t>
  </si>
  <si>
    <t>ZPK_SAP490_G9_SP26</t>
  </si>
  <si>
    <t>TS_CUSTOMER_RANK</t>
  </si>
  <si>
    <t>29/04/2026</t>
  </si>
  <si>
    <t>DatNV</t>
  </si>
  <si>
    <t>HE171534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</si>
</sst>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"/>
    <numFmt numFmtId="165" formatCode="[$-409]m/d/yy\ h:mm\ AM/PM"/>
    <numFmt numFmtId="166" formatCode="0.0"/>
    <numFmt numFmtId="167" formatCode="[$-409]d/mmm/yyyy"/>
    <numFmt numFmtId="168" formatCode="[$-409]d\-mmm\-yy"/>
  </numFmts>
  <fonts count="15">
    <font>
      <sz val="11"/>
      <color theme="1"/>
      <name val="Calibri"/>
    </font>
    <font>
      <sz val="10"/>
      <color theme="0"/>
      <name val="Arial"/>
    </font>
    <font>
      <sz val="11"/>
      <name val="Calibri"/>
    </font>
    <font>
      <sz val="10"/>
      <color theme="1"/>
      <name val="Arial"/>
    </font>
    <font>
      <sz val="11"/>
      <color theme="1"/>
      <name val="Arial"/>
    </font>
    <font>
      <b/>
      <sz val="16"/>
      <color theme="1"/>
      <name val="Arial"/>
    </font>
    <font>
      <sz val="20"/>
      <color theme="1"/>
      <name val="Arial"/>
    </font>
    <font>
      <sz val="13"/>
      <color theme="1"/>
      <name val="Times New Roman"/>
    </font>
    <font>
      <b/>
      <sz val="13"/>
      <color theme="1"/>
      <name val="Times New Roman"/>
    </font>
    <font>
      <sz val="16"/>
      <color theme="1"/>
      <name val="Arial"/>
    </font>
    <font>
      <b/>
      <sz val="13"/>
      <color theme="0"/>
      <name val="Times New Roman"/>
    </font>
    <font>
      <sz val="11"/>
      <color theme="1"/>
      <name val="Calibri"/>
    </font>
    <font>
      <b/>
      <sz val="10"/>
      <color theme="1"/>
      <name val="Arial"/>
    </font>
    <font>
      <b/>
      <sz val="13"/>
      <color theme="1"/>
      <name val="Times New Roman"/>
    </font>
    <font>
      <sz val="13"/>
      <color rgb="FF0000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2B82"/>
      </patternFill>
    </fill>
    <fill>
      <patternFill patternType="solid">
        <fgColor rgb="FFC6D9F0"/>
      </patternFill>
    </fill>
    <fill>
      <patternFill patternType="solid">
        <f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164" fontId="0" fillId="0" borderId="0"/>
  </cellStyleXfs>
  <cellXfs count="98">
    <xf numFmtId="164" fontId="0" fillId="0" borderId="0" xfId="0"/>
    <xf numFmtId="164" fontId="5" fillId="0" borderId="0" xfId="0" applyFont="1"/>
    <xf numFmtId="164" fontId="6" fillId="0" borderId="0" xfId="0" applyFont="1"/>
    <xf numFmtId="164" fontId="4" fillId="0" borderId="5" xfId="0" applyFont="1" applyBorder="1"/>
    <xf numFmtId="164" fontId="4" fillId="0" borderId="4" xfId="0" applyFont="1" applyBorder="1"/>
    <xf numFmtId="164" fontId="4" fillId="0" borderId="0" xfId="0" applyFont="1"/>
    <xf numFmtId="164" fontId="7" fillId="0" borderId="0" xfId="0" applyFont="1"/>
    <xf numFmtId="164" fontId="8" fillId="0" borderId="0" xfId="0" applyFont="1"/>
    <xf numFmtId="164" fontId="9" fillId="0" borderId="4" xfId="0" applyFont="1" applyBorder="1"/>
    <xf numFmtId="164" fontId="3" fillId="0" borderId="4" xfId="0" applyFont="1" applyBorder="1"/>
    <xf numFmtId="164" fontId="8" fillId="0" borderId="0" xfId="0" applyFont="1" applyAlignment="1">
      <alignment horizontal="center"/>
    </xf>
    <xf numFmtId="164" fontId="3" fillId="0" borderId="5" xfId="0" applyFont="1" applyBorder="1"/>
    <xf numFmtId="166" fontId="7" fillId="0" borderId="0" xfId="0" applyNumberFormat="1" applyFont="1"/>
    <xf numFmtId="164" fontId="11" fillId="0" borderId="5" xfId="0" applyFont="1" applyBorder="1"/>
    <xf numFmtId="164" fontId="11" fillId="0" borderId="0" xfId="0" applyFont="1"/>
    <xf numFmtId="164" fontId="11" fillId="0" borderId="7" xfId="0" applyFont="1" applyBorder="1"/>
    <xf numFmtId="164" fontId="7" fillId="0" borderId="4" xfId="0" applyFont="1" applyBorder="1"/>
    <xf numFmtId="16" fontId="7" fillId="0" borderId="0" xfId="0" applyNumberFormat="1" applyFont="1"/>
    <xf numFmtId="0" fontId="7" fillId="0" borderId="9" xfId="0" applyNumberFormat="1" applyFont="1" applyBorder="1"/>
    <xf numFmtId="164" fontId="7" fillId="0" borderId="10" xfId="0" applyFont="1" applyBorder="1"/>
    <xf numFmtId="164" fontId="7" fillId="0" borderId="11" xfId="0" applyFont="1" applyBorder="1"/>
    <xf numFmtId="164" fontId="7" fillId="0" borderId="9" xfId="0" applyFont="1" applyBorder="1"/>
    <xf numFmtId="164" fontId="13" fillId="0" borderId="0" xfId="0" applyFont="1"/>
    <xf numFmtId="164" fontId="8" fillId="0" borderId="9" xfId="0" applyFont="1" applyBorder="1"/>
    <xf numFmtId="164" fontId="8" fillId="0" borderId="10" xfId="0" applyFont="1" applyBorder="1"/>
    <xf numFmtId="164" fontId="8" fillId="0" borderId="11" xfId="0" applyFont="1" applyBorder="1"/>
    <xf numFmtId="164" fontId="7" fillId="0" borderId="5" xfId="0" applyFont="1" applyBorder="1"/>
    <xf numFmtId="0" fontId="8" fillId="0" borderId="4" xfId="0" applyNumberFormat="1" applyFont="1" applyBorder="1"/>
    <xf numFmtId="164" fontId="7" fillId="0" borderId="6" xfId="0" applyFont="1" applyBorder="1"/>
    <xf numFmtId="0" fontId="8" fillId="0" borderId="6" xfId="0" applyNumberFormat="1" applyFont="1" applyBorder="1"/>
    <xf numFmtId="164" fontId="7" fillId="0" borderId="7" xfId="0" applyFont="1" applyBorder="1"/>
    <xf numFmtId="164" fontId="8" fillId="0" borderId="4" xfId="0" applyFont="1" applyBorder="1"/>
    <xf numFmtId="0" fontId="7" fillId="0" borderId="4" xfId="0" applyNumberFormat="1" applyFont="1" applyBorder="1"/>
    <xf numFmtId="164" fontId="8" fillId="0" borderId="6" xfId="0" applyFont="1" applyBorder="1"/>
    <xf numFmtId="164" fontId="8" fillId="0" borderId="0" xfId="0" applyFont="1" applyAlignment="1">
      <alignment vertical="center"/>
    </xf>
    <xf numFmtId="164" fontId="7" fillId="0" borderId="0" xfId="0" applyFont="1" applyAlignment="1">
      <alignment vertical="center"/>
    </xf>
    <xf numFmtId="164" fontId="3" fillId="0" borderId="0" xfId="0" applyFont="1" applyAlignment="1">
      <alignment vertical="center"/>
    </xf>
    <xf numFmtId="0" fontId="8" fillId="0" borderId="0" xfId="0" applyNumberFormat="1" applyFont="1" applyAlignment="1">
      <alignment vertical="center"/>
    </xf>
    <xf numFmtId="164" fontId="8" fillId="0" borderId="0" xfId="0" applyFont="1" applyAlignment="1">
      <alignment vertical="center" wrapText="1"/>
    </xf>
    <xf numFmtId="164" fontId="7" fillId="0" borderId="0" xfId="0" applyFont="1" applyAlignment="1">
      <alignment vertical="center" wrapText="1"/>
    </xf>
    <xf numFmtId="164" fontId="3" fillId="4" borderId="12" xfId="0" applyFont="1" applyFill="1" applyBorder="1" applyAlignment="1">
      <alignment vertical="center"/>
    </xf>
    <xf numFmtId="0" fontId="8" fillId="0" borderId="0" xfId="0" applyNumberFormat="1" applyFont="1"/>
    <xf numFmtId="0" fontId="7" fillId="0" borderId="0" xfId="0" applyNumberFormat="1" applyFont="1"/>
    <xf numFmtId="164" fontId="8" fillId="0" borderId="0" xfId="0" applyFont="1" applyAlignment="1">
      <alignment horizontal="left" vertical="center"/>
    </xf>
    <xf numFmtId="164" fontId="7" fillId="0" borderId="0" xfId="0" applyFont="1" applyAlignment="1">
      <alignment horizontal="left" vertical="center"/>
    </xf>
    <xf numFmtId="164" fontId="14" fillId="0" borderId="0" xfId="0" applyFont="1"/>
    <xf numFmtId="164" fontId="11" fillId="0" borderId="8" xfId="0" applyFont="1" applyBorder="1"/>
    <xf numFmtId="164" fontId="7" fillId="0" borderId="8" xfId="0" applyFont="1" applyBorder="1"/>
    <xf numFmtId="164" fontId="8" fillId="0" borderId="8" xfId="0" applyFont="1" applyBorder="1"/>
    <xf numFmtId="164" fontId="13" fillId="0" borderId="0" xfId="0" applyFont="1" applyAlignment="1">
      <alignment vertical="center"/>
    </xf>
    <xf numFmtId="0" fontId="7" fillId="0" borderId="6" xfId="0" applyNumberFormat="1" applyFont="1" applyBorder="1"/>
    <xf numFmtId="164" fontId="8" fillId="0" borderId="9" xfId="0" applyFont="1" applyBorder="1" applyAlignment="1">
      <alignment horizontal="center" vertical="center" wrapText="1"/>
    </xf>
    <xf numFmtId="0" fontId="2" fillId="0" borderId="10" xfId="0" applyNumberFormat="1" applyFont="1" applyBorder="1"/>
    <xf numFmtId="0" fontId="2" fillId="0" borderId="11" xfId="0" applyNumberFormat="1" applyFont="1" applyBorder="1"/>
    <xf numFmtId="164" fontId="7" fillId="0" borderId="9" xfId="0" applyFont="1" applyBorder="1" applyAlignment="1">
      <alignment horizontal="center" vertical="center" wrapText="1"/>
    </xf>
    <xf numFmtId="16" fontId="7" fillId="0" borderId="9" xfId="0" applyNumberFormat="1" applyFont="1" applyBorder="1" applyAlignment="1">
      <alignment horizontal="center" vertical="center" wrapText="1"/>
    </xf>
    <xf numFmtId="164" fontId="10" fillId="2" borderId="9" xfId="0" applyFont="1" applyFill="1" applyBorder="1" applyAlignment="1">
      <alignment horizontal="left" wrapText="1"/>
    </xf>
    <xf numFmtId="166" fontId="7" fillId="3" borderId="9" xfId="0" applyNumberFormat="1" applyFont="1" applyFill="1" applyBorder="1" applyAlignment="1">
      <alignment horizontal="center" wrapText="1"/>
    </xf>
    <xf numFmtId="167" fontId="7" fillId="3" borderId="9" xfId="0" applyNumberFormat="1" applyFont="1" applyFill="1" applyBorder="1" applyAlignment="1">
      <alignment horizontal="center" wrapText="1"/>
    </xf>
    <xf numFmtId="0" fontId="7" fillId="0" borderId="9" xfId="0" applyNumberFormat="1" applyFont="1" applyBorder="1" applyAlignment="1">
      <alignment horizontal="center" vertical="center" wrapText="1"/>
    </xf>
    <xf numFmtId="168" fontId="7" fillId="0" borderId="9" xfId="0" applyNumberFormat="1" applyFont="1" applyBorder="1" applyAlignment="1">
      <alignment horizontal="center" vertical="center" wrapText="1"/>
    </xf>
    <xf numFmtId="164" fontId="10" fillId="2" borderId="9" xfId="0" applyFont="1" applyFill="1" applyBorder="1" applyAlignment="1">
      <alignment horizontal="center" wrapText="1"/>
    </xf>
    <xf numFmtId="164" fontId="3" fillId="0" borderId="1" xfId="0" applyFont="1" applyBorder="1" applyAlignment="1">
      <alignment horizontal="center" vertical="center" wrapText="1"/>
    </xf>
    <xf numFmtId="0" fontId="2" fillId="0" borderId="3" xfId="0" applyNumberFormat="1" applyFont="1" applyBorder="1"/>
    <xf numFmtId="0" fontId="2" fillId="0" borderId="2" xfId="0" applyNumberFormat="1" applyFont="1" applyBorder="1"/>
    <xf numFmtId="0" fontId="2" fillId="0" borderId="4" xfId="0" applyNumberFormat="1" applyFont="1" applyBorder="1"/>
    <xf numFmtId="164" fontId="0" fillId="0" borderId="0" xfId="0"/>
    <xf numFmtId="0" fontId="2" fillId="0" borderId="5" xfId="0" applyNumberFormat="1" applyFont="1" applyBorder="1"/>
    <xf numFmtId="0" fontId="2" fillId="0" borderId="6" xfId="0" applyNumberFormat="1" applyFont="1" applyBorder="1"/>
    <xf numFmtId="0" fontId="2" fillId="0" borderId="8" xfId="0" applyNumberFormat="1" applyFont="1" applyBorder="1"/>
    <xf numFmtId="0" fontId="2" fillId="0" borderId="7" xfId="0" applyNumberFormat="1" applyFont="1" applyBorder="1"/>
    <xf numFmtId="164" fontId="4" fillId="0" borderId="1" xfId="0" applyFont="1" applyBorder="1" applyAlignment="1">
      <alignment horizontal="center"/>
    </xf>
    <xf numFmtId="165" fontId="3" fillId="0" borderId="0" xfId="0" applyNumberFormat="1" applyFont="1" applyAlignment="1">
      <alignment horizontal="left"/>
    </xf>
    <xf numFmtId="164" fontId="8" fillId="0" borderId="0" xfId="0" applyFont="1" applyAlignment="1">
      <alignment horizontal="center" vertical="top"/>
    </xf>
    <xf numFmtId="0" fontId="7" fillId="3" borderId="9" xfId="0" applyNumberFormat="1" applyFont="1" applyFill="1" applyBorder="1" applyAlignment="1">
      <alignment horizontal="center" wrapText="1"/>
    </xf>
    <xf numFmtId="164" fontId="1" fillId="2" borderId="1" xfId="0" applyFont="1" applyFill="1" applyBorder="1" applyAlignment="1">
      <alignment horizontal="center" vertical="center"/>
    </xf>
    <xf numFmtId="164" fontId="3" fillId="0" borderId="1" xfId="0" applyFont="1" applyBorder="1" applyAlignment="1">
      <alignment horizontal="center" vertical="center"/>
    </xf>
    <xf numFmtId="0" fontId="2" fillId="0" borderId="12" xfId="0" applyNumberFormat="1" applyFont="1" applyBorder="1"/>
    <xf numFmtId="164" fontId="1" fillId="2" borderId="3" xfId="0" applyFont="1" applyFill="1" applyBorder="1" applyAlignment="1">
      <alignment horizontal="center" vertical="center"/>
    </xf>
    <xf numFmtId="168" fontId="11" fillId="0" borderId="0" xfId="0" applyNumberFormat="1" applyFont="1" applyAlignment="1">
      <alignment horizontal="center"/>
    </xf>
    <xf numFmtId="164" fontId="11" fillId="0" borderId="0" xfId="0" applyFont="1" applyAlignment="1">
      <alignment horizontal="center"/>
    </xf>
    <xf numFmtId="166" fontId="11" fillId="0" borderId="0" xfId="0" applyNumberFormat="1" applyFont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4" fontId="7" fillId="0" borderId="9" xfId="0" applyFont="1" applyBorder="1" applyAlignment="1">
      <alignment horizontal="center"/>
    </xf>
    <xf numFmtId="166" fontId="7" fillId="0" borderId="9" xfId="0" applyNumberFormat="1" applyFont="1" applyBorder="1" applyAlignment="1">
      <alignment horizontal="center"/>
    </xf>
    <xf numFmtId="164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0" fontId="7" fillId="0" borderId="9" xfId="0" applyNumberFormat="1" applyFont="1" applyBorder="1" applyAlignment="1">
      <alignment horizontal="center"/>
    </xf>
    <xf numFmtId="164" fontId="10" fillId="2" borderId="1" xfId="0" applyFont="1" applyFill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164" fontId="12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top"/>
    </xf>
    <xf numFmtId="164" fontId="7" fillId="0" borderId="9" xfId="0" applyFont="1" applyBorder="1" applyAlignment="1">
      <alignment horizontal="left" vertical="center" wrapText="1"/>
    </xf>
    <xf numFmtId="0" fontId="7" fillId="0" borderId="9" xfId="0" applyNumberFormat="1" applyFont="1" applyBorder="1" applyAlignment="1">
      <alignment horizontal="left" vertical="center" wrapText="1"/>
    </xf>
    <xf numFmtId="0" fontId="7" fillId="0" borderId="9" xfId="0" applyNumberFormat="1" applyFont="1" applyBorder="1" applyAlignment="1">
      <alignment wrapText="1"/>
    </xf>
    <xf numFmtId="164" fontId="3" fillId="0" borderId="9" xfId="0" applyFont="1" applyBorder="1" applyAlignment="1">
      <alignment horizontal="center" vertical="center"/>
    </xf>
    <xf numFmtId="164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19050</xdr:colOff>
      <xdr:row>5</xdr:row>
      <xdr:rowOff>0</xdr:rowOff>
    </xdr:from>
    <xdr:ext cx="247650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25</xdr:col>
      <xdr:colOff>9525</xdr:colOff>
      <xdr:row>5</xdr:row>
      <xdr:rowOff>0</xdr:rowOff>
    </xdr:from>
    <xdr:ext cx="24765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19</xdr:col>
      <xdr:colOff>19050</xdr:colOff>
      <xdr:row>5</xdr:row>
      <xdr:rowOff>0</xdr:rowOff>
    </xdr:from>
    <xdr:ext cx="247650" cy="3238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3</xdr:col>
      <xdr:colOff>9525</xdr:colOff>
      <xdr:row>26</xdr:row>
      <xdr:rowOff>0</xdr:rowOff>
    </xdr:from>
    <xdr:ext cx="247650" cy="3238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21</xdr:col>
      <xdr:colOff>19050</xdr:colOff>
      <xdr:row>5</xdr:row>
      <xdr:rowOff>0</xdr:rowOff>
    </xdr:from>
    <xdr:ext cx="247650" cy="3238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25</xdr:col>
      <xdr:colOff>9525</xdr:colOff>
      <xdr:row>5</xdr:row>
      <xdr:rowOff>0</xdr:rowOff>
    </xdr:from>
    <xdr:ext cx="247650" cy="3238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19</xdr:col>
      <xdr:colOff>19050</xdr:colOff>
      <xdr:row>5</xdr:row>
      <xdr:rowOff>0</xdr:rowOff>
    </xdr:from>
    <xdr:ext cx="247650" cy="3238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3</xdr:col>
      <xdr:colOff>9525</xdr:colOff>
      <xdr:row>26</xdr:row>
      <xdr:rowOff>0</xdr:rowOff>
    </xdr:from>
    <xdr:ext cx="247650" cy="3238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0"/>
  <sheetViews>
    <sheetView showGridLines="0" topLeftCell="A7" workbookViewId="0">
      <selection activeCell="AL27" sqref="AL27"/>
    </sheetView>
  </sheetViews>
  <sheetFormatPr defaultColWidth="14.3984375" defaultRowHeight="14.25"/>
  <cols>
    <col min="1" max="32" width="2.86328125" customWidth="1"/>
    <col min="33" max="33" width="7.73046875" customWidth="1"/>
    <col min="34" max="34" width="3.59765625" customWidth="1"/>
    <col min="35" max="47" width="2.86328125" customWidth="1"/>
  </cols>
  <sheetData>
    <row r="1" spans="1:47">
      <c r="A1" s="75" t="s">
        <v>0</v>
      </c>
      <c r="B1" s="63"/>
      <c r="C1" s="64"/>
      <c r="D1" s="76" t="str">
        <f>Y12</f>
        <v>TS_CUSTOMER_RANK</v>
      </c>
      <c r="E1" s="63"/>
      <c r="F1" s="63"/>
      <c r="G1" s="63"/>
      <c r="H1" s="63"/>
      <c r="I1" s="63"/>
      <c r="J1" s="64"/>
      <c r="K1" s="75" t="s">
        <v>1</v>
      </c>
      <c r="L1" s="63"/>
      <c r="M1" s="63"/>
      <c r="N1" s="63"/>
      <c r="O1" s="76" t="str">
        <f ca="1">MID(CELL("filename",A1),FIND("]",CELL("filename",A1))+1,255)</f>
        <v>01.Cover</v>
      </c>
      <c r="P1" s="63"/>
      <c r="Q1" s="63"/>
      <c r="R1" s="63"/>
      <c r="S1" s="63"/>
      <c r="T1" s="63"/>
      <c r="U1" s="64"/>
      <c r="V1" s="78" t="s">
        <v>2</v>
      </c>
      <c r="W1" s="63"/>
      <c r="X1" s="63"/>
      <c r="Y1" s="63"/>
      <c r="Z1" s="62" t="str">
        <f>'01.Cover'!B9</f>
        <v>Technical Specification</v>
      </c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4"/>
    </row>
    <row r="2" spans="1:47" ht="14.25" customHeight="1">
      <c r="A2" s="65"/>
      <c r="B2" s="66"/>
      <c r="C2" s="67"/>
      <c r="D2" s="65"/>
      <c r="E2" s="66"/>
      <c r="F2" s="66"/>
      <c r="G2" s="66"/>
      <c r="H2" s="66"/>
      <c r="I2" s="66"/>
      <c r="J2" s="67"/>
      <c r="K2" s="65"/>
      <c r="L2" s="66"/>
      <c r="M2" s="66"/>
      <c r="N2" s="77"/>
      <c r="O2" s="65"/>
      <c r="P2" s="66"/>
      <c r="Q2" s="66"/>
      <c r="R2" s="66"/>
      <c r="S2" s="66"/>
      <c r="T2" s="66"/>
      <c r="U2" s="67"/>
      <c r="V2" s="77"/>
      <c r="W2" s="66"/>
      <c r="X2" s="66"/>
      <c r="Y2" s="77"/>
      <c r="Z2" s="65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/>
    </row>
    <row r="3" spans="1:47" ht="14.25" customHeight="1">
      <c r="A3" s="68"/>
      <c r="B3" s="69"/>
      <c r="C3" s="70"/>
      <c r="D3" s="68"/>
      <c r="E3" s="69"/>
      <c r="F3" s="69"/>
      <c r="G3" s="69"/>
      <c r="H3" s="69"/>
      <c r="I3" s="69"/>
      <c r="J3" s="70"/>
      <c r="K3" s="68"/>
      <c r="L3" s="69"/>
      <c r="M3" s="69"/>
      <c r="N3" s="69"/>
      <c r="O3" s="68"/>
      <c r="P3" s="69"/>
      <c r="Q3" s="69"/>
      <c r="R3" s="69"/>
      <c r="S3" s="69"/>
      <c r="T3" s="69"/>
      <c r="U3" s="70"/>
      <c r="V3" s="69"/>
      <c r="W3" s="69"/>
      <c r="X3" s="69"/>
      <c r="Y3" s="69"/>
      <c r="Z3" s="68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</row>
    <row r="4" spans="1:47" ht="24.75">
      <c r="A4" s="71"/>
      <c r="B4" s="63"/>
      <c r="C4" s="63"/>
      <c r="D4" s="63"/>
      <c r="E4" s="63"/>
      <c r="F4" s="63"/>
      <c r="G4" s="72"/>
      <c r="H4" s="66"/>
      <c r="I4" s="66"/>
      <c r="J4" s="66"/>
      <c r="K4" s="66"/>
      <c r="L4" s="66"/>
      <c r="M4" s="66"/>
      <c r="N4" s="66"/>
      <c r="O4" s="6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2"/>
      <c r="AS4" s="2"/>
      <c r="AT4" s="2"/>
      <c r="AU4" s="3"/>
    </row>
    <row r="5" spans="1:47" ht="24.75">
      <c r="A5" s="4"/>
      <c r="B5" s="5"/>
      <c r="C5" s="5"/>
      <c r="D5" s="5"/>
      <c r="E5" s="5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2"/>
      <c r="AS5" s="2"/>
      <c r="AT5" s="2"/>
      <c r="AU5" s="3"/>
    </row>
    <row r="6" spans="1:47" ht="24.75">
      <c r="A6" s="4"/>
      <c r="B6" s="5"/>
      <c r="C6" s="5"/>
      <c r="D6" s="5"/>
      <c r="E6" s="5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2"/>
      <c r="AS6" s="2"/>
      <c r="AT6" s="2"/>
      <c r="AU6" s="3"/>
    </row>
    <row r="7" spans="1:47" ht="16.5">
      <c r="A7" s="4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6"/>
      <c r="AS7" s="6"/>
      <c r="AT7" s="6"/>
      <c r="AU7" s="3"/>
    </row>
    <row r="8" spans="1:47" ht="20.25">
      <c r="A8" s="8"/>
      <c r="B8" s="6"/>
      <c r="C8" s="6"/>
      <c r="D8" s="6"/>
      <c r="E8" s="6"/>
      <c r="F8" s="6"/>
      <c r="G8" s="6"/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6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6"/>
      <c r="AS8" s="6"/>
      <c r="AT8" s="6"/>
      <c r="AU8" s="3"/>
    </row>
    <row r="9" spans="1:47" ht="20.25">
      <c r="A9" s="8"/>
      <c r="B9" s="73" t="s">
        <v>120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3"/>
    </row>
    <row r="10" spans="1:47" ht="20.25">
      <c r="A10" s="8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3"/>
    </row>
    <row r="11" spans="1:47" ht="14.25" customHeight="1">
      <c r="A11" s="9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0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11"/>
    </row>
    <row r="12" spans="1:47" ht="14.25" customHeight="1">
      <c r="A12" s="9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56" t="s">
        <v>3</v>
      </c>
      <c r="Q12" s="52" t="s">
        <v>121</v>
      </c>
      <c r="R12" s="52"/>
      <c r="S12" s="52"/>
      <c r="T12" s="52"/>
      <c r="U12" s="52"/>
      <c r="V12" s="52"/>
      <c r="W12" s="52"/>
      <c r="X12" s="53"/>
      <c r="Y12" s="74" t="s">
        <v>231</v>
      </c>
      <c r="Z12" s="52"/>
      <c r="AA12" s="52"/>
      <c r="AB12" s="52"/>
      <c r="AC12" s="52"/>
      <c r="AD12" s="52"/>
      <c r="AE12" s="52"/>
      <c r="AF12" s="52"/>
      <c r="AG12" s="53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11"/>
    </row>
    <row r="13" spans="1:47" ht="12.75" customHeight="1">
      <c r="A13" s="9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56" t="s">
        <v>4</v>
      </c>
      <c r="Q13" s="52" t="s">
        <v>5</v>
      </c>
      <c r="R13" s="52"/>
      <c r="S13" s="52"/>
      <c r="T13" s="52"/>
      <c r="U13" s="52"/>
      <c r="V13" s="52"/>
      <c r="W13" s="52"/>
      <c r="X13" s="53"/>
      <c r="Y13" s="57" t="s">
        <v>5</v>
      </c>
      <c r="Z13" s="52"/>
      <c r="AA13" s="52"/>
      <c r="AB13" s="52"/>
      <c r="AC13" s="52"/>
      <c r="AD13" s="52"/>
      <c r="AE13" s="52"/>
      <c r="AF13" s="52"/>
      <c r="AG13" s="53"/>
      <c r="AH13" s="12"/>
      <c r="AI13" s="6"/>
      <c r="AJ13" s="6"/>
      <c r="AK13" s="6" t="str">
        <f>TEXT(AH13,)</f>
        <v/>
      </c>
      <c r="AL13" s="6"/>
      <c r="AM13" s="6"/>
      <c r="AN13" s="6"/>
      <c r="AO13" s="6"/>
      <c r="AP13" s="6"/>
      <c r="AQ13" s="6"/>
      <c r="AR13" s="6"/>
      <c r="AS13" s="6"/>
      <c r="AT13" s="6"/>
      <c r="AU13" s="11"/>
    </row>
    <row r="14" spans="1:47" ht="14.25" customHeight="1">
      <c r="A14" s="9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56" t="s">
        <v>6</v>
      </c>
      <c r="Q14" s="52" t="s">
        <v>122</v>
      </c>
      <c r="R14" s="52"/>
      <c r="S14" s="52"/>
      <c r="T14" s="52"/>
      <c r="U14" s="52"/>
      <c r="V14" s="52"/>
      <c r="W14" s="52"/>
      <c r="X14" s="53"/>
      <c r="Y14" s="58" t="s">
        <v>232</v>
      </c>
      <c r="Z14" s="52"/>
      <c r="AA14" s="52"/>
      <c r="AB14" s="52"/>
      <c r="AC14" s="52"/>
      <c r="AD14" s="52"/>
      <c r="AE14" s="52"/>
      <c r="AF14" s="52"/>
      <c r="AG14" s="53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11"/>
    </row>
    <row r="15" spans="1:47" ht="16.5"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6"/>
      <c r="AT15" s="6"/>
      <c r="AU15" s="13"/>
    </row>
    <row r="16" spans="1:47" ht="16.5"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6"/>
      <c r="AT16" s="6"/>
      <c r="AU16" s="13"/>
    </row>
    <row r="17" spans="1:47" ht="16.5"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6"/>
      <c r="AT17" s="6"/>
      <c r="AU17" s="13"/>
    </row>
    <row r="18" spans="1:47" ht="16.5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6"/>
      <c r="AT18" s="6"/>
      <c r="AU18" s="13"/>
    </row>
    <row r="19" spans="1:47" ht="16.5"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61" t="s">
        <v>7</v>
      </c>
      <c r="N19" s="52"/>
      <c r="O19" s="52"/>
      <c r="P19" s="52"/>
      <c r="Q19" s="52"/>
      <c r="R19" s="53"/>
      <c r="S19" s="61" t="s">
        <v>8</v>
      </c>
      <c r="T19" s="52"/>
      <c r="U19" s="52"/>
      <c r="V19" s="52"/>
      <c r="W19" s="52"/>
      <c r="X19" s="52"/>
      <c r="Y19" s="52"/>
      <c r="Z19" s="52"/>
      <c r="AA19" s="53"/>
      <c r="AB19" s="61" t="s">
        <v>9</v>
      </c>
      <c r="AC19" s="52"/>
      <c r="AD19" s="52"/>
      <c r="AE19" s="52"/>
      <c r="AF19" s="52"/>
      <c r="AG19" s="52"/>
      <c r="AH19" s="53"/>
      <c r="AI19" s="61" t="s">
        <v>10</v>
      </c>
      <c r="AJ19" s="52"/>
      <c r="AK19" s="52"/>
      <c r="AL19" s="52"/>
      <c r="AM19" s="53"/>
      <c r="AN19" s="42"/>
      <c r="AO19" s="42"/>
      <c r="AP19" s="42"/>
      <c r="AQ19" s="42"/>
      <c r="AR19" s="42"/>
      <c r="AS19" s="6"/>
      <c r="AT19" s="6"/>
      <c r="AU19" s="13"/>
    </row>
    <row r="20" spans="1:47" ht="16.5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51" t="s">
        <v>11</v>
      </c>
      <c r="N20" s="52"/>
      <c r="O20" s="52"/>
      <c r="P20" s="52"/>
      <c r="Q20" s="52"/>
      <c r="R20" s="53"/>
      <c r="S20" s="59" t="s">
        <v>233</v>
      </c>
      <c r="T20" s="52"/>
      <c r="U20" s="52"/>
      <c r="V20" s="52"/>
      <c r="W20" s="52"/>
      <c r="X20" s="52"/>
      <c r="Y20" s="52"/>
      <c r="Z20" s="52"/>
      <c r="AA20" s="53"/>
      <c r="AB20" s="59" t="s">
        <v>234</v>
      </c>
      <c r="AC20" s="52"/>
      <c r="AD20" s="52"/>
      <c r="AE20" s="52"/>
      <c r="AF20" s="52"/>
      <c r="AG20" s="52"/>
      <c r="AH20" s="53"/>
      <c r="AI20" s="60">
        <v>46360</v>
      </c>
      <c r="AJ20" s="52"/>
      <c r="AK20" s="52"/>
      <c r="AL20" s="52"/>
      <c r="AM20" s="53"/>
      <c r="AN20" s="42"/>
      <c r="AO20" s="42"/>
      <c r="AP20" s="42"/>
      <c r="AQ20" s="42"/>
      <c r="AR20" s="42"/>
      <c r="AS20" s="6"/>
      <c r="AT20" s="6"/>
      <c r="AU20" s="13"/>
    </row>
    <row r="21" spans="1:47" ht="14.25" customHeight="1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51" t="s">
        <v>12</v>
      </c>
      <c r="N21" s="52"/>
      <c r="O21" s="52"/>
      <c r="P21" s="52"/>
      <c r="Q21" s="52"/>
      <c r="R21" s="53"/>
      <c r="S21" s="54"/>
      <c r="T21" s="52"/>
      <c r="U21" s="52"/>
      <c r="V21" s="52"/>
      <c r="W21" s="52"/>
      <c r="X21" s="52"/>
      <c r="Y21" s="52"/>
      <c r="Z21" s="52"/>
      <c r="AA21" s="53"/>
      <c r="AB21" s="54"/>
      <c r="AC21" s="52"/>
      <c r="AD21" s="52"/>
      <c r="AE21" s="52"/>
      <c r="AF21" s="52"/>
      <c r="AG21" s="52"/>
      <c r="AH21" s="53"/>
      <c r="AI21" s="55"/>
      <c r="AJ21" s="52"/>
      <c r="AK21" s="52"/>
      <c r="AL21" s="52"/>
      <c r="AM21" s="53"/>
      <c r="AN21" s="42"/>
      <c r="AO21" s="42"/>
      <c r="AP21" s="42"/>
      <c r="AQ21" s="42"/>
      <c r="AR21" s="42"/>
      <c r="AS21" s="6"/>
      <c r="AT21" s="6"/>
      <c r="AU21" s="13"/>
    </row>
    <row r="22" spans="1:47" ht="14.25" customHeight="1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51" t="s">
        <v>13</v>
      </c>
      <c r="N22" s="52"/>
      <c r="O22" s="52"/>
      <c r="P22" s="52"/>
      <c r="Q22" s="52"/>
      <c r="R22" s="53"/>
      <c r="S22" s="54"/>
      <c r="T22" s="52"/>
      <c r="U22" s="52"/>
      <c r="V22" s="52"/>
      <c r="W22" s="52"/>
      <c r="X22" s="52"/>
      <c r="Y22" s="52"/>
      <c r="Z22" s="52"/>
      <c r="AA22" s="53"/>
      <c r="AB22" s="54"/>
      <c r="AC22" s="52"/>
      <c r="AD22" s="52"/>
      <c r="AE22" s="52"/>
      <c r="AF22" s="52"/>
      <c r="AG22" s="52"/>
      <c r="AH22" s="53"/>
      <c r="AI22" s="54"/>
      <c r="AJ22" s="52"/>
      <c r="AK22" s="52"/>
      <c r="AL22" s="52"/>
      <c r="AM22" s="53"/>
      <c r="AN22" s="42"/>
      <c r="AO22" s="42"/>
      <c r="AP22" s="42"/>
      <c r="AQ22" s="42"/>
      <c r="AR22" s="42"/>
      <c r="AS22" s="6"/>
      <c r="AT22" s="6"/>
      <c r="AU22" s="13"/>
    </row>
    <row r="23" spans="1:47" ht="15.75" customHeight="1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6"/>
      <c r="AT23" s="6"/>
      <c r="AU23" s="13"/>
    </row>
    <row r="24" spans="1:47" ht="15.75" customHeight="1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6"/>
      <c r="AT24" s="6"/>
      <c r="AU24" s="13"/>
    </row>
    <row r="25" spans="1:47" ht="15.75" customHeight="1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6"/>
      <c r="AT25" s="6"/>
      <c r="AU25" s="13"/>
    </row>
    <row r="26" spans="1:47" ht="15.75" customHeight="1">
      <c r="AS26" s="14"/>
      <c r="AT26" s="14"/>
      <c r="AU26" s="13"/>
    </row>
    <row r="27" spans="1:47" ht="15.75" customHeight="1">
      <c r="AS27" s="14"/>
      <c r="AT27" s="14"/>
      <c r="AU27" s="13"/>
    </row>
    <row r="28" spans="1:47" ht="15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15"/>
    </row>
    <row r="29" spans="1:47" ht="15.75" customHeight="1"/>
    <row r="30" spans="1:47" ht="15.75" customHeight="1"/>
    <row r="31" spans="1:47" ht="15.75" customHeight="1"/>
    <row r="32" spans="1:4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Z1:AU3"/>
    <mergeCell ref="A4:F4"/>
    <mergeCell ref="G4:O4"/>
    <mergeCell ref="B9:AT10"/>
    <mergeCell ref="P12:X12"/>
    <mergeCell ref="Y12:AG12"/>
    <mergeCell ref="A1:C3"/>
    <mergeCell ref="D1:J3"/>
    <mergeCell ref="K1:N3"/>
    <mergeCell ref="O1:U3"/>
    <mergeCell ref="V1:Y3"/>
    <mergeCell ref="P13:X13"/>
    <mergeCell ref="Y13:AG13"/>
    <mergeCell ref="Y14:AG14"/>
    <mergeCell ref="AB20:AH20"/>
    <mergeCell ref="AI20:AM20"/>
    <mergeCell ref="P14:X14"/>
    <mergeCell ref="M19:R19"/>
    <mergeCell ref="S19:AA19"/>
    <mergeCell ref="AB19:AH19"/>
    <mergeCell ref="AI19:AM19"/>
    <mergeCell ref="M20:R20"/>
    <mergeCell ref="S20:AA20"/>
    <mergeCell ref="M21:R21"/>
    <mergeCell ref="S21:AA21"/>
    <mergeCell ref="AB21:AH21"/>
    <mergeCell ref="AI21:AM21"/>
    <mergeCell ref="M22:R22"/>
    <mergeCell ref="S22:AA22"/>
    <mergeCell ref="AB22:AH22"/>
    <mergeCell ref="AI22:AM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00"/>
  <sheetViews>
    <sheetView showGridLines="0" workbookViewId="0">
      <selection activeCell="D1" sqref="D1:J3"/>
    </sheetView>
  </sheetViews>
  <sheetFormatPr defaultColWidth="14.3984375" defaultRowHeight="14.25"/>
  <cols>
    <col min="1" max="17" width="2.86328125" customWidth="1"/>
    <col min="18" max="18" width="33.73046875" customWidth="1"/>
    <col min="19" max="46" width="2.86328125" customWidth="1"/>
  </cols>
  <sheetData>
    <row r="1" spans="1:46">
      <c r="A1" s="75" t="s">
        <v>0</v>
      </c>
      <c r="B1" s="63"/>
      <c r="C1" s="64"/>
      <c r="D1" s="62" t="str">
        <f>'01.Cover'!Y12</f>
        <v>TS_CUSTOMER_RANK</v>
      </c>
      <c r="E1" s="63"/>
      <c r="F1" s="63"/>
      <c r="G1" s="63"/>
      <c r="H1" s="63"/>
      <c r="I1" s="63"/>
      <c r="J1" s="64"/>
      <c r="K1" s="75" t="s">
        <v>1</v>
      </c>
      <c r="L1" s="63"/>
      <c r="M1" s="63"/>
      <c r="N1" s="63"/>
      <c r="O1" s="76" t="str">
        <f ca="1">MID(CELL("filename",A1),FIND("]",CELL("filename",A1))+1,255)</f>
        <v>02.Revision_History</v>
      </c>
      <c r="P1" s="63"/>
      <c r="Q1" s="63"/>
      <c r="R1" s="63"/>
      <c r="S1" s="63"/>
      <c r="T1" s="63"/>
      <c r="U1" s="64"/>
      <c r="V1" s="78" t="s">
        <v>2</v>
      </c>
      <c r="W1" s="63"/>
      <c r="X1" s="63"/>
      <c r="Y1" s="63"/>
      <c r="Z1" s="62" t="str">
        <f>'01.Cover'!B9</f>
        <v>Technical Specification</v>
      </c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4"/>
    </row>
    <row r="2" spans="1:46">
      <c r="A2" s="65"/>
      <c r="B2" s="66"/>
      <c r="C2" s="67"/>
      <c r="D2" s="65"/>
      <c r="E2" s="66"/>
      <c r="F2" s="66"/>
      <c r="G2" s="66"/>
      <c r="H2" s="66"/>
      <c r="I2" s="66"/>
      <c r="J2" s="67"/>
      <c r="K2" s="65"/>
      <c r="L2" s="66"/>
      <c r="M2" s="66"/>
      <c r="N2" s="77"/>
      <c r="O2" s="65"/>
      <c r="P2" s="66"/>
      <c r="Q2" s="66"/>
      <c r="R2" s="66"/>
      <c r="S2" s="66"/>
      <c r="T2" s="66"/>
      <c r="U2" s="67"/>
      <c r="V2" s="77"/>
      <c r="W2" s="66"/>
      <c r="X2" s="66"/>
      <c r="Y2" s="77"/>
      <c r="Z2" s="65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7"/>
    </row>
    <row r="3" spans="1:46">
      <c r="A3" s="68"/>
      <c r="B3" s="69"/>
      <c r="C3" s="70"/>
      <c r="D3" s="68"/>
      <c r="E3" s="69"/>
      <c r="F3" s="69"/>
      <c r="G3" s="69"/>
      <c r="H3" s="69"/>
      <c r="I3" s="69"/>
      <c r="J3" s="70"/>
      <c r="K3" s="68"/>
      <c r="L3" s="69"/>
      <c r="M3" s="69"/>
      <c r="N3" s="69"/>
      <c r="O3" s="68"/>
      <c r="P3" s="69"/>
      <c r="Q3" s="69"/>
      <c r="R3" s="69"/>
      <c r="S3" s="69"/>
      <c r="T3" s="69"/>
      <c r="U3" s="70"/>
      <c r="V3" s="69"/>
      <c r="W3" s="69"/>
      <c r="X3" s="69"/>
      <c r="Y3" s="69"/>
      <c r="Z3" s="68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70"/>
    </row>
    <row r="4" spans="1:46" ht="16.5">
      <c r="A4" s="1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7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16.5">
      <c r="A5" s="16"/>
      <c r="B5" s="89" t="s">
        <v>14</v>
      </c>
      <c r="C5" s="64"/>
      <c r="D5" s="89" t="s">
        <v>10</v>
      </c>
      <c r="E5" s="63"/>
      <c r="F5" s="63"/>
      <c r="G5" s="63"/>
      <c r="H5" s="63"/>
      <c r="I5" s="64"/>
      <c r="J5" s="89" t="s">
        <v>8</v>
      </c>
      <c r="K5" s="63"/>
      <c r="L5" s="63"/>
      <c r="M5" s="63"/>
      <c r="N5" s="63"/>
      <c r="O5" s="63"/>
      <c r="P5" s="63"/>
      <c r="Q5" s="63"/>
      <c r="R5" s="64"/>
      <c r="S5" s="89" t="s">
        <v>9</v>
      </c>
      <c r="T5" s="63"/>
      <c r="U5" s="64"/>
      <c r="V5" s="89" t="s">
        <v>15</v>
      </c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4"/>
    </row>
    <row r="6" spans="1:46" ht="16.5">
      <c r="A6" s="16"/>
      <c r="B6" s="68"/>
      <c r="C6" s="70"/>
      <c r="D6" s="68"/>
      <c r="E6" s="69"/>
      <c r="F6" s="69"/>
      <c r="G6" s="69"/>
      <c r="H6" s="69"/>
      <c r="I6" s="70"/>
      <c r="J6" s="68"/>
      <c r="K6" s="69"/>
      <c r="L6" s="69"/>
      <c r="M6" s="69"/>
      <c r="N6" s="69"/>
      <c r="O6" s="69"/>
      <c r="P6" s="69"/>
      <c r="Q6" s="69"/>
      <c r="R6" s="70"/>
      <c r="S6" s="68"/>
      <c r="T6" s="69"/>
      <c r="U6" s="70"/>
      <c r="V6" s="68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70"/>
    </row>
    <row r="7" spans="1:46" ht="16.5">
      <c r="A7" s="16"/>
      <c r="B7" s="84">
        <v>1</v>
      </c>
      <c r="C7" s="53"/>
      <c r="D7" s="82" t="s">
        <v>122</v>
      </c>
      <c r="E7" s="52"/>
      <c r="F7" s="52"/>
      <c r="G7" s="52"/>
      <c r="H7" s="52"/>
      <c r="I7" s="53"/>
      <c r="J7" s="88" t="s">
        <v>123</v>
      </c>
      <c r="K7" s="52"/>
      <c r="L7" s="52"/>
      <c r="M7" s="52"/>
      <c r="N7" s="52"/>
      <c r="O7" s="52"/>
      <c r="P7" s="52"/>
      <c r="Q7" s="52"/>
      <c r="R7" s="53"/>
      <c r="S7" s="83"/>
      <c r="T7" s="52"/>
      <c r="U7" s="53"/>
      <c r="V7" s="18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20"/>
    </row>
    <row r="8" spans="1:46" ht="16.5">
      <c r="A8" s="16"/>
      <c r="B8" s="84"/>
      <c r="C8" s="53"/>
      <c r="D8" s="82"/>
      <c r="E8" s="52"/>
      <c r="F8" s="52"/>
      <c r="G8" s="52"/>
      <c r="H8" s="52"/>
      <c r="I8" s="53"/>
      <c r="J8" s="83"/>
      <c r="K8" s="52"/>
      <c r="L8" s="52"/>
      <c r="M8" s="52"/>
      <c r="N8" s="52"/>
      <c r="O8" s="52"/>
      <c r="P8" s="52"/>
      <c r="Q8" s="52"/>
      <c r="R8" s="53"/>
      <c r="S8" s="83"/>
      <c r="T8" s="52"/>
      <c r="U8" s="53"/>
      <c r="V8" s="21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20"/>
    </row>
    <row r="9" spans="1:46" ht="16.5">
      <c r="A9" s="16"/>
      <c r="B9" s="84"/>
      <c r="C9" s="53"/>
      <c r="D9" s="82"/>
      <c r="E9" s="52"/>
      <c r="F9" s="52"/>
      <c r="G9" s="52"/>
      <c r="H9" s="52"/>
      <c r="I9" s="53"/>
      <c r="J9" s="83"/>
      <c r="K9" s="52"/>
      <c r="L9" s="52"/>
      <c r="M9" s="52"/>
      <c r="N9" s="52"/>
      <c r="O9" s="52"/>
      <c r="P9" s="52"/>
      <c r="Q9" s="52"/>
      <c r="R9" s="53"/>
      <c r="S9" s="83"/>
      <c r="T9" s="52"/>
      <c r="U9" s="53"/>
      <c r="V9" s="21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20"/>
    </row>
    <row r="10" spans="1:46" ht="16.5">
      <c r="A10" s="16"/>
      <c r="B10" s="84"/>
      <c r="C10" s="53"/>
      <c r="D10" s="82"/>
      <c r="E10" s="52"/>
      <c r="F10" s="52"/>
      <c r="G10" s="52"/>
      <c r="H10" s="52"/>
      <c r="I10" s="53"/>
      <c r="J10" s="83"/>
      <c r="K10" s="52"/>
      <c r="L10" s="52"/>
      <c r="M10" s="52"/>
      <c r="N10" s="52"/>
      <c r="O10" s="52"/>
      <c r="P10" s="52"/>
      <c r="Q10" s="52"/>
      <c r="R10" s="53"/>
      <c r="S10" s="83"/>
      <c r="T10" s="52"/>
      <c r="U10" s="53"/>
      <c r="V10" s="21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20"/>
    </row>
    <row r="11" spans="1:46" ht="16.5">
      <c r="A11" s="16"/>
      <c r="B11" s="84"/>
      <c r="C11" s="53"/>
      <c r="D11" s="82"/>
      <c r="E11" s="52"/>
      <c r="F11" s="52"/>
      <c r="G11" s="52"/>
      <c r="H11" s="52"/>
      <c r="I11" s="53"/>
      <c r="J11" s="83"/>
      <c r="K11" s="52"/>
      <c r="L11" s="52"/>
      <c r="M11" s="52"/>
      <c r="N11" s="52"/>
      <c r="O11" s="52"/>
      <c r="P11" s="52"/>
      <c r="Q11" s="52"/>
      <c r="R11" s="53"/>
      <c r="S11" s="83"/>
      <c r="T11" s="52"/>
      <c r="U11" s="53"/>
      <c r="V11" s="21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20"/>
    </row>
    <row r="12" spans="1:46" ht="16.5">
      <c r="A12" s="16"/>
      <c r="B12" s="84"/>
      <c r="C12" s="53"/>
      <c r="D12" s="82"/>
      <c r="E12" s="52"/>
      <c r="F12" s="52"/>
      <c r="G12" s="52"/>
      <c r="H12" s="52"/>
      <c r="I12" s="53"/>
      <c r="J12" s="83"/>
      <c r="K12" s="52"/>
      <c r="L12" s="52"/>
      <c r="M12" s="52"/>
      <c r="N12" s="52"/>
      <c r="O12" s="52"/>
      <c r="P12" s="52"/>
      <c r="Q12" s="52"/>
      <c r="R12" s="53"/>
      <c r="S12" s="83"/>
      <c r="T12" s="52"/>
      <c r="U12" s="53"/>
      <c r="V12" s="21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20"/>
    </row>
    <row r="13" spans="1:46" ht="16.5">
      <c r="A13" s="16"/>
      <c r="B13" s="84"/>
      <c r="C13" s="53"/>
      <c r="D13" s="82"/>
      <c r="E13" s="52"/>
      <c r="F13" s="52"/>
      <c r="G13" s="52"/>
      <c r="H13" s="52"/>
      <c r="I13" s="53"/>
      <c r="J13" s="83"/>
      <c r="K13" s="52"/>
      <c r="L13" s="52"/>
      <c r="M13" s="52"/>
      <c r="N13" s="52"/>
      <c r="O13" s="52"/>
      <c r="P13" s="52"/>
      <c r="Q13" s="52"/>
      <c r="R13" s="53"/>
      <c r="S13" s="83"/>
      <c r="T13" s="52"/>
      <c r="U13" s="53"/>
      <c r="V13" s="21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20"/>
    </row>
    <row r="14" spans="1:46" ht="16.5">
      <c r="A14" s="16"/>
      <c r="B14" s="84"/>
      <c r="C14" s="53"/>
      <c r="D14" s="82"/>
      <c r="E14" s="52"/>
      <c r="F14" s="52"/>
      <c r="G14" s="52"/>
      <c r="H14" s="52"/>
      <c r="I14" s="53"/>
      <c r="J14" s="83"/>
      <c r="K14" s="52"/>
      <c r="L14" s="52"/>
      <c r="M14" s="52"/>
      <c r="N14" s="52"/>
      <c r="O14" s="52"/>
      <c r="P14" s="52"/>
      <c r="Q14" s="52"/>
      <c r="R14" s="53"/>
      <c r="S14" s="83"/>
      <c r="T14" s="52"/>
      <c r="U14" s="53"/>
      <c r="V14" s="21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20"/>
    </row>
    <row r="15" spans="1:46" ht="16.5">
      <c r="A15" s="16"/>
      <c r="B15" s="84"/>
      <c r="C15" s="53"/>
      <c r="D15" s="82"/>
      <c r="E15" s="52"/>
      <c r="F15" s="52"/>
      <c r="G15" s="52"/>
      <c r="H15" s="52"/>
      <c r="I15" s="53"/>
      <c r="J15" s="83"/>
      <c r="K15" s="52"/>
      <c r="L15" s="52"/>
      <c r="M15" s="52"/>
      <c r="N15" s="52"/>
      <c r="O15" s="52"/>
      <c r="P15" s="52"/>
      <c r="Q15" s="52"/>
      <c r="R15" s="53"/>
      <c r="S15" s="83"/>
      <c r="T15" s="52"/>
      <c r="U15" s="53"/>
      <c r="V15" s="21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20"/>
    </row>
    <row r="16" spans="1:46" ht="16.5">
      <c r="A16" s="16"/>
      <c r="B16" s="84"/>
      <c r="C16" s="53"/>
      <c r="D16" s="82"/>
      <c r="E16" s="52"/>
      <c r="F16" s="52"/>
      <c r="G16" s="52"/>
      <c r="H16" s="52"/>
      <c r="I16" s="53"/>
      <c r="J16" s="83"/>
      <c r="K16" s="52"/>
      <c r="L16" s="52"/>
      <c r="M16" s="52"/>
      <c r="N16" s="52"/>
      <c r="O16" s="52"/>
      <c r="P16" s="52"/>
      <c r="Q16" s="52"/>
      <c r="R16" s="53"/>
      <c r="S16" s="83"/>
      <c r="T16" s="52"/>
      <c r="U16" s="53"/>
      <c r="V16" s="21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20"/>
    </row>
    <row r="17" spans="1:46" ht="16.5">
      <c r="A17" s="42"/>
      <c r="B17" s="86"/>
      <c r="C17" s="66"/>
      <c r="D17" s="87"/>
      <c r="E17" s="66"/>
      <c r="F17" s="66"/>
      <c r="G17" s="66"/>
      <c r="H17" s="66"/>
      <c r="I17" s="66"/>
      <c r="J17" s="85"/>
      <c r="K17" s="66"/>
      <c r="L17" s="66"/>
      <c r="M17" s="66"/>
      <c r="N17" s="66"/>
      <c r="O17" s="66"/>
      <c r="P17" s="66"/>
      <c r="Q17" s="66"/>
      <c r="R17" s="66"/>
      <c r="S17" s="85"/>
      <c r="T17" s="66"/>
      <c r="U17" s="66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</row>
    <row r="18" spans="1:46" ht="16.5">
      <c r="A18" s="42"/>
      <c r="B18" s="86"/>
      <c r="C18" s="66"/>
      <c r="D18" s="87"/>
      <c r="E18" s="66"/>
      <c r="F18" s="66"/>
      <c r="G18" s="66"/>
      <c r="H18" s="66"/>
      <c r="I18" s="66"/>
      <c r="J18" s="85"/>
      <c r="K18" s="66"/>
      <c r="L18" s="66"/>
      <c r="M18" s="66"/>
      <c r="N18" s="66"/>
      <c r="O18" s="66"/>
      <c r="P18" s="66"/>
      <c r="Q18" s="66"/>
      <c r="R18" s="66"/>
      <c r="S18" s="85"/>
      <c r="T18" s="66"/>
      <c r="U18" s="66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</row>
    <row r="19" spans="1:46" ht="16.5">
      <c r="A19" s="42"/>
      <c r="B19" s="86"/>
      <c r="C19" s="66"/>
      <c r="D19" s="87"/>
      <c r="E19" s="66"/>
      <c r="F19" s="66"/>
      <c r="G19" s="66"/>
      <c r="H19" s="66"/>
      <c r="I19" s="66"/>
      <c r="J19" s="85"/>
      <c r="K19" s="66"/>
      <c r="L19" s="66"/>
      <c r="M19" s="66"/>
      <c r="N19" s="66"/>
      <c r="O19" s="66"/>
      <c r="P19" s="66"/>
      <c r="Q19" s="66"/>
      <c r="R19" s="66"/>
      <c r="S19" s="85"/>
      <c r="T19" s="66"/>
      <c r="U19" s="66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</row>
    <row r="20" spans="1:46">
      <c r="B20" s="81"/>
      <c r="C20" s="66"/>
      <c r="D20" s="79"/>
      <c r="E20" s="66"/>
      <c r="F20" s="66"/>
      <c r="G20" s="66"/>
      <c r="H20" s="66"/>
      <c r="I20" s="66"/>
      <c r="J20" s="80"/>
      <c r="K20" s="66"/>
      <c r="L20" s="66"/>
      <c r="M20" s="66"/>
      <c r="N20" s="66"/>
      <c r="O20" s="66"/>
      <c r="P20" s="66"/>
      <c r="Q20" s="66"/>
      <c r="R20" s="66"/>
      <c r="S20" s="80"/>
      <c r="T20" s="66"/>
      <c r="U20" s="66"/>
    </row>
    <row r="21" spans="1:46" ht="15.75" customHeight="1">
      <c r="B21" s="81"/>
      <c r="C21" s="66"/>
      <c r="D21" s="79"/>
      <c r="E21" s="66"/>
      <c r="F21" s="66"/>
      <c r="G21" s="66"/>
      <c r="H21" s="66"/>
      <c r="I21" s="66"/>
      <c r="J21" s="80"/>
      <c r="K21" s="66"/>
      <c r="L21" s="66"/>
      <c r="M21" s="66"/>
      <c r="N21" s="66"/>
      <c r="O21" s="66"/>
      <c r="P21" s="66"/>
      <c r="Q21" s="66"/>
      <c r="R21" s="66"/>
      <c r="S21" s="80"/>
      <c r="T21" s="66"/>
      <c r="U21" s="66"/>
    </row>
    <row r="22" spans="1:46" ht="15.75" customHeight="1">
      <c r="B22" s="81"/>
      <c r="C22" s="66"/>
      <c r="D22" s="79"/>
      <c r="E22" s="66"/>
      <c r="F22" s="66"/>
      <c r="G22" s="66"/>
      <c r="H22" s="66"/>
      <c r="I22" s="66"/>
      <c r="J22" s="80"/>
      <c r="K22" s="66"/>
      <c r="L22" s="66"/>
      <c r="M22" s="66"/>
      <c r="N22" s="66"/>
      <c r="O22" s="66"/>
      <c r="P22" s="66"/>
      <c r="Q22" s="66"/>
      <c r="R22" s="66"/>
      <c r="S22" s="80"/>
      <c r="T22" s="66"/>
      <c r="U22" s="66"/>
    </row>
    <row r="23" spans="1:46" ht="15.75" customHeight="1">
      <c r="B23" s="81"/>
      <c r="C23" s="66"/>
      <c r="D23" s="79"/>
      <c r="E23" s="66"/>
      <c r="F23" s="66"/>
      <c r="G23" s="66"/>
      <c r="H23" s="66"/>
      <c r="I23" s="66"/>
      <c r="J23" s="80"/>
      <c r="K23" s="66"/>
      <c r="L23" s="66"/>
      <c r="M23" s="66"/>
      <c r="N23" s="66"/>
      <c r="O23" s="66"/>
      <c r="P23" s="66"/>
      <c r="Q23" s="66"/>
      <c r="R23" s="66"/>
      <c r="S23" s="80"/>
      <c r="T23" s="66"/>
      <c r="U23" s="66"/>
    </row>
    <row r="24" spans="1:46" ht="15.75" customHeight="1">
      <c r="B24" s="81"/>
      <c r="C24" s="66"/>
      <c r="D24" s="79"/>
      <c r="E24" s="66"/>
      <c r="F24" s="66"/>
      <c r="G24" s="66"/>
      <c r="H24" s="66"/>
      <c r="I24" s="66"/>
      <c r="J24" s="80"/>
      <c r="K24" s="66"/>
      <c r="L24" s="66"/>
      <c r="M24" s="66"/>
      <c r="N24" s="66"/>
      <c r="O24" s="66"/>
      <c r="P24" s="66"/>
      <c r="Q24" s="66"/>
      <c r="R24" s="66"/>
      <c r="S24" s="80"/>
      <c r="T24" s="66"/>
      <c r="U24" s="66"/>
    </row>
    <row r="25" spans="1:46" ht="15.75" customHeight="1">
      <c r="B25" s="81"/>
      <c r="C25" s="66"/>
      <c r="D25" s="79"/>
      <c r="E25" s="66"/>
      <c r="F25" s="66"/>
      <c r="G25" s="66"/>
      <c r="H25" s="66"/>
      <c r="I25" s="66"/>
      <c r="J25" s="80"/>
      <c r="K25" s="66"/>
      <c r="L25" s="66"/>
      <c r="M25" s="66"/>
      <c r="N25" s="66"/>
      <c r="O25" s="66"/>
      <c r="P25" s="66"/>
      <c r="Q25" s="66"/>
      <c r="R25" s="66"/>
      <c r="S25" s="80"/>
      <c r="T25" s="66"/>
      <c r="U25" s="66"/>
    </row>
    <row r="26" spans="1:46" ht="15.75" customHeight="1">
      <c r="B26" s="81"/>
      <c r="C26" s="66"/>
      <c r="D26" s="79"/>
      <c r="E26" s="66"/>
      <c r="F26" s="66"/>
      <c r="G26" s="66"/>
      <c r="H26" s="66"/>
      <c r="I26" s="66"/>
      <c r="J26" s="80"/>
      <c r="K26" s="66"/>
      <c r="L26" s="66"/>
      <c r="M26" s="66"/>
      <c r="N26" s="66"/>
      <c r="O26" s="66"/>
      <c r="P26" s="66"/>
      <c r="Q26" s="66"/>
      <c r="R26" s="66"/>
      <c r="S26" s="80"/>
      <c r="T26" s="66"/>
      <c r="U26" s="66"/>
    </row>
    <row r="27" spans="1:46" ht="15.75" customHeight="1">
      <c r="B27" s="81"/>
      <c r="C27" s="66"/>
      <c r="D27" s="79"/>
      <c r="E27" s="66"/>
      <c r="F27" s="66"/>
      <c r="G27" s="66"/>
      <c r="H27" s="66"/>
      <c r="I27" s="66"/>
      <c r="J27" s="80"/>
      <c r="K27" s="66"/>
      <c r="L27" s="66"/>
      <c r="M27" s="66"/>
      <c r="N27" s="66"/>
      <c r="O27" s="66"/>
      <c r="P27" s="66"/>
      <c r="Q27" s="66"/>
      <c r="R27" s="66"/>
      <c r="S27" s="80"/>
      <c r="T27" s="66"/>
      <c r="U27" s="66"/>
    </row>
    <row r="28" spans="1:46" ht="15.75" customHeight="1">
      <c r="B28" s="81"/>
      <c r="C28" s="66"/>
      <c r="D28" s="79"/>
      <c r="E28" s="66"/>
      <c r="F28" s="66"/>
      <c r="G28" s="66"/>
      <c r="H28" s="66"/>
      <c r="I28" s="66"/>
      <c r="J28" s="80"/>
      <c r="K28" s="66"/>
      <c r="L28" s="66"/>
      <c r="M28" s="66"/>
      <c r="N28" s="66"/>
      <c r="O28" s="66"/>
      <c r="P28" s="66"/>
      <c r="Q28" s="66"/>
      <c r="R28" s="66"/>
      <c r="S28" s="80"/>
      <c r="T28" s="66"/>
      <c r="U28" s="66"/>
    </row>
    <row r="29" spans="1:46" ht="15.75" customHeight="1">
      <c r="B29" s="81"/>
      <c r="C29" s="66"/>
      <c r="D29" s="79"/>
      <c r="E29" s="66"/>
      <c r="F29" s="66"/>
      <c r="G29" s="66"/>
      <c r="H29" s="66"/>
      <c r="I29" s="66"/>
      <c r="J29" s="80"/>
      <c r="K29" s="66"/>
      <c r="L29" s="66"/>
      <c r="M29" s="66"/>
      <c r="N29" s="66"/>
      <c r="O29" s="66"/>
      <c r="P29" s="66"/>
      <c r="Q29" s="66"/>
      <c r="R29" s="66"/>
      <c r="S29" s="80"/>
      <c r="T29" s="66"/>
      <c r="U29" s="66"/>
    </row>
    <row r="30" spans="1:46" ht="15.75" customHeight="1">
      <c r="B30" s="81"/>
      <c r="C30" s="66"/>
      <c r="D30" s="79"/>
      <c r="E30" s="66"/>
      <c r="F30" s="66"/>
      <c r="G30" s="66"/>
      <c r="H30" s="66"/>
      <c r="I30" s="66"/>
      <c r="J30" s="80"/>
      <c r="K30" s="66"/>
      <c r="L30" s="66"/>
      <c r="M30" s="66"/>
      <c r="N30" s="66"/>
      <c r="O30" s="66"/>
      <c r="P30" s="66"/>
      <c r="Q30" s="66"/>
      <c r="R30" s="66"/>
      <c r="S30" s="80"/>
      <c r="T30" s="66"/>
      <c r="U30" s="66"/>
    </row>
    <row r="31" spans="1:46" ht="15.75" customHeight="1">
      <c r="B31" s="81"/>
      <c r="C31" s="66"/>
      <c r="D31" s="79"/>
      <c r="E31" s="66"/>
      <c r="F31" s="66"/>
      <c r="G31" s="66"/>
      <c r="H31" s="66"/>
      <c r="I31" s="66"/>
      <c r="J31" s="80"/>
      <c r="K31" s="66"/>
      <c r="L31" s="66"/>
      <c r="M31" s="66"/>
      <c r="N31" s="66"/>
      <c r="O31" s="66"/>
      <c r="P31" s="66"/>
      <c r="Q31" s="66"/>
      <c r="R31" s="66"/>
      <c r="S31" s="80"/>
      <c r="T31" s="66"/>
      <c r="U31" s="66"/>
    </row>
    <row r="32" spans="1:46" ht="15.75" customHeight="1">
      <c r="B32" s="81"/>
      <c r="C32" s="66"/>
      <c r="D32" s="79"/>
      <c r="E32" s="66"/>
      <c r="F32" s="66"/>
      <c r="G32" s="66"/>
      <c r="H32" s="66"/>
      <c r="I32" s="66"/>
      <c r="J32" s="80"/>
      <c r="K32" s="66"/>
      <c r="L32" s="66"/>
      <c r="M32" s="66"/>
      <c r="N32" s="66"/>
      <c r="O32" s="66"/>
      <c r="P32" s="66"/>
      <c r="Q32" s="66"/>
      <c r="R32" s="66"/>
      <c r="S32" s="80"/>
      <c r="T32" s="66"/>
      <c r="U32" s="66"/>
    </row>
    <row r="33" spans="2:21" ht="15.75" customHeight="1">
      <c r="B33" s="81"/>
      <c r="C33" s="66"/>
      <c r="D33" s="79"/>
      <c r="E33" s="66"/>
      <c r="F33" s="66"/>
      <c r="G33" s="66"/>
      <c r="H33" s="66"/>
      <c r="I33" s="66"/>
      <c r="J33" s="80"/>
      <c r="K33" s="66"/>
      <c r="L33" s="66"/>
      <c r="M33" s="66"/>
      <c r="N33" s="66"/>
      <c r="O33" s="66"/>
      <c r="P33" s="66"/>
      <c r="Q33" s="66"/>
      <c r="R33" s="66"/>
      <c r="S33" s="80"/>
      <c r="T33" s="66"/>
      <c r="U33" s="66"/>
    </row>
    <row r="34" spans="2:21" ht="15.75" customHeight="1">
      <c r="B34" s="81"/>
      <c r="C34" s="66"/>
      <c r="D34" s="79"/>
      <c r="E34" s="66"/>
      <c r="F34" s="66"/>
      <c r="G34" s="66"/>
      <c r="H34" s="66"/>
      <c r="I34" s="66"/>
      <c r="J34" s="80"/>
      <c r="K34" s="66"/>
      <c r="L34" s="66"/>
      <c r="M34" s="66"/>
      <c r="N34" s="66"/>
      <c r="O34" s="66"/>
      <c r="P34" s="66"/>
      <c r="Q34" s="66"/>
      <c r="R34" s="66"/>
      <c r="S34" s="80"/>
      <c r="T34" s="66"/>
      <c r="U34" s="66"/>
    </row>
    <row r="35" spans="2:21" ht="15.75" customHeight="1">
      <c r="B35" s="81"/>
      <c r="C35" s="66"/>
      <c r="D35" s="79"/>
      <c r="E35" s="66"/>
      <c r="F35" s="66"/>
      <c r="G35" s="66"/>
      <c r="H35" s="66"/>
      <c r="I35" s="66"/>
      <c r="J35" s="80"/>
      <c r="K35" s="66"/>
      <c r="L35" s="66"/>
      <c r="M35" s="66"/>
      <c r="N35" s="66"/>
      <c r="O35" s="66"/>
      <c r="P35" s="66"/>
      <c r="Q35" s="66"/>
      <c r="R35" s="66"/>
      <c r="S35" s="80"/>
      <c r="T35" s="66"/>
      <c r="U35" s="66"/>
    </row>
    <row r="36" spans="2:21" ht="15.75" customHeight="1">
      <c r="B36" s="81"/>
      <c r="C36" s="66"/>
      <c r="D36" s="79"/>
      <c r="E36" s="66"/>
      <c r="F36" s="66"/>
      <c r="G36" s="66"/>
      <c r="H36" s="66"/>
      <c r="I36" s="66"/>
      <c r="J36" s="80"/>
      <c r="K36" s="66"/>
      <c r="L36" s="66"/>
      <c r="M36" s="66"/>
      <c r="N36" s="66"/>
      <c r="O36" s="66"/>
      <c r="P36" s="66"/>
      <c r="Q36" s="66"/>
      <c r="R36" s="66"/>
      <c r="S36" s="80"/>
      <c r="T36" s="66"/>
      <c r="U36" s="66"/>
    </row>
    <row r="37" spans="2:21" ht="15.75" customHeight="1">
      <c r="B37" s="81"/>
      <c r="C37" s="66"/>
      <c r="D37" s="79"/>
      <c r="E37" s="66"/>
      <c r="F37" s="66"/>
      <c r="G37" s="66"/>
      <c r="H37" s="66"/>
      <c r="I37" s="66"/>
      <c r="J37" s="80"/>
      <c r="K37" s="66"/>
      <c r="L37" s="66"/>
      <c r="M37" s="66"/>
      <c r="N37" s="66"/>
      <c r="O37" s="66"/>
      <c r="P37" s="66"/>
      <c r="Q37" s="66"/>
      <c r="R37" s="66"/>
      <c r="S37" s="80"/>
      <c r="T37" s="66"/>
      <c r="U37" s="66"/>
    </row>
    <row r="38" spans="2:21" ht="15.75" customHeight="1"/>
    <row r="39" spans="2:21" ht="15.75" customHeight="1"/>
    <row r="40" spans="2:21" ht="15.75" customHeight="1"/>
    <row r="41" spans="2:21" ht="15.75" customHeight="1"/>
    <row r="42" spans="2:21" ht="15.75" customHeight="1"/>
    <row r="43" spans="2:21" ht="15.75" customHeight="1"/>
    <row r="44" spans="2:21" ht="15.75" customHeight="1"/>
    <row r="45" spans="2:21" ht="15.75" customHeight="1"/>
    <row r="46" spans="2:21" ht="15.75" customHeight="1"/>
    <row r="47" spans="2:21" ht="15.75" customHeight="1"/>
    <row r="48" spans="2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5">
    <mergeCell ref="S5:U6"/>
    <mergeCell ref="V5:AT6"/>
    <mergeCell ref="A1:C3"/>
    <mergeCell ref="D1:J3"/>
    <mergeCell ref="K1:N3"/>
    <mergeCell ref="O1:U3"/>
    <mergeCell ref="V1:Y3"/>
    <mergeCell ref="Z1:AT3"/>
    <mergeCell ref="B5:C6"/>
    <mergeCell ref="D5:I6"/>
    <mergeCell ref="J5:R6"/>
    <mergeCell ref="B12:C12"/>
    <mergeCell ref="S12:U12"/>
    <mergeCell ref="D12:I12"/>
    <mergeCell ref="J12:R12"/>
    <mergeCell ref="B7:C7"/>
    <mergeCell ref="D7:I7"/>
    <mergeCell ref="J7:R7"/>
    <mergeCell ref="S7:U7"/>
    <mergeCell ref="B8:C8"/>
    <mergeCell ref="S8:U8"/>
    <mergeCell ref="D8:I8"/>
    <mergeCell ref="J8:R8"/>
    <mergeCell ref="B9:C9"/>
    <mergeCell ref="D9:I9"/>
    <mergeCell ref="J9:R9"/>
    <mergeCell ref="S9:U9"/>
    <mergeCell ref="B10:C10"/>
    <mergeCell ref="S10:U10"/>
    <mergeCell ref="D10:I10"/>
    <mergeCell ref="J10:R10"/>
    <mergeCell ref="B11:C11"/>
    <mergeCell ref="D11:I11"/>
    <mergeCell ref="J11:R11"/>
    <mergeCell ref="S11:U11"/>
    <mergeCell ref="S21:U21"/>
    <mergeCell ref="D22:I22"/>
    <mergeCell ref="J22:R22"/>
    <mergeCell ref="S22:U22"/>
    <mergeCell ref="B17:C17"/>
    <mergeCell ref="D17:I17"/>
    <mergeCell ref="D18:I18"/>
    <mergeCell ref="J18:R18"/>
    <mergeCell ref="B22:C22"/>
    <mergeCell ref="B19:C19"/>
    <mergeCell ref="D19:I19"/>
    <mergeCell ref="J19:R19"/>
    <mergeCell ref="B20:C20"/>
    <mergeCell ref="D20:I20"/>
    <mergeCell ref="B21:C21"/>
    <mergeCell ref="D21:I21"/>
    <mergeCell ref="J21:R21"/>
    <mergeCell ref="B13:C13"/>
    <mergeCell ref="D13:I13"/>
    <mergeCell ref="J13:R13"/>
    <mergeCell ref="S13:U13"/>
    <mergeCell ref="B14:C14"/>
    <mergeCell ref="S14:U14"/>
    <mergeCell ref="J31:R31"/>
    <mergeCell ref="S31:U31"/>
    <mergeCell ref="J23:R23"/>
    <mergeCell ref="S23:U23"/>
    <mergeCell ref="B24:C24"/>
    <mergeCell ref="D24:I24"/>
    <mergeCell ref="B25:C25"/>
    <mergeCell ref="D25:I25"/>
    <mergeCell ref="J25:R25"/>
    <mergeCell ref="S25:U25"/>
    <mergeCell ref="J24:R24"/>
    <mergeCell ref="S24:U24"/>
    <mergeCell ref="J29:R29"/>
    <mergeCell ref="S29:U29"/>
    <mergeCell ref="D30:I30"/>
    <mergeCell ref="J30:R30"/>
    <mergeCell ref="S30:U30"/>
    <mergeCell ref="J33:R33"/>
    <mergeCell ref="S33:U33"/>
    <mergeCell ref="B34:C34"/>
    <mergeCell ref="S34:U34"/>
    <mergeCell ref="D34:I34"/>
    <mergeCell ref="J34:R34"/>
    <mergeCell ref="D28:I28"/>
    <mergeCell ref="B23:C23"/>
    <mergeCell ref="D23:I23"/>
    <mergeCell ref="B33:C33"/>
    <mergeCell ref="D33:I33"/>
    <mergeCell ref="B29:C29"/>
    <mergeCell ref="D29:I29"/>
    <mergeCell ref="B30:C30"/>
    <mergeCell ref="B31:C31"/>
    <mergeCell ref="D31:I31"/>
    <mergeCell ref="B18:C18"/>
    <mergeCell ref="B32:C32"/>
    <mergeCell ref="D32:I32"/>
    <mergeCell ref="J32:R32"/>
    <mergeCell ref="S32:U32"/>
    <mergeCell ref="D26:I26"/>
    <mergeCell ref="J26:R26"/>
    <mergeCell ref="S26:U26"/>
    <mergeCell ref="J28:R28"/>
    <mergeCell ref="S28:U28"/>
    <mergeCell ref="B26:C26"/>
    <mergeCell ref="B27:C27"/>
    <mergeCell ref="D27:I27"/>
    <mergeCell ref="J27:R27"/>
    <mergeCell ref="S27:U27"/>
    <mergeCell ref="B28:C28"/>
    <mergeCell ref="J17:R17"/>
    <mergeCell ref="S17:U17"/>
    <mergeCell ref="S18:U18"/>
    <mergeCell ref="J20:R20"/>
    <mergeCell ref="S20:U20"/>
    <mergeCell ref="S19:U19"/>
    <mergeCell ref="S15:U15"/>
    <mergeCell ref="B16:C16"/>
    <mergeCell ref="S16:U16"/>
    <mergeCell ref="D16:I16"/>
    <mergeCell ref="J16:R16"/>
    <mergeCell ref="D14:I14"/>
    <mergeCell ref="J14:R14"/>
    <mergeCell ref="B15:C15"/>
    <mergeCell ref="D15:I15"/>
    <mergeCell ref="J15:R15"/>
    <mergeCell ref="S37:U37"/>
    <mergeCell ref="B35:C35"/>
    <mergeCell ref="D35:I35"/>
    <mergeCell ref="J35:R35"/>
    <mergeCell ref="S35:U35"/>
    <mergeCell ref="B36:C36"/>
    <mergeCell ref="S36:U36"/>
    <mergeCell ref="D36:I36"/>
    <mergeCell ref="J36:R36"/>
    <mergeCell ref="B37:C37"/>
    <mergeCell ref="D37:I37"/>
    <mergeCell ref="J37:R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U1000"/>
  <sheetViews>
    <sheetView showGridLines="0" workbookViewId="0">
      <selection activeCell="I17" sqref="I17"/>
    </sheetView>
  </sheetViews>
  <sheetFormatPr defaultColWidth="14.3984375" defaultRowHeight="14.25"/>
  <cols>
    <col min="1" max="9" width="2.86328125" customWidth="1"/>
    <col min="10" max="10" width="5.9296875" customWidth="1"/>
    <col min="11" max="20" width="2.86328125" customWidth="1"/>
    <col min="21" max="21" width="19.265625" customWidth="1"/>
    <col min="22" max="47" width="2.86328125" customWidth="1"/>
  </cols>
  <sheetData>
    <row r="1" spans="1:47">
      <c r="A1" s="75" t="s">
        <v>0</v>
      </c>
      <c r="B1" s="63"/>
      <c r="C1" s="64"/>
      <c r="D1" s="62" t="str">
        <f>'01.Cover'!Y12</f>
        <v>TS_CUSTOMER_RANK</v>
      </c>
      <c r="E1" s="63"/>
      <c r="F1" s="63"/>
      <c r="G1" s="63"/>
      <c r="H1" s="63"/>
      <c r="I1" s="63"/>
      <c r="J1" s="64"/>
      <c r="K1" s="75" t="s">
        <v>1</v>
      </c>
      <c r="L1" s="63"/>
      <c r="M1" s="63"/>
      <c r="N1" s="63"/>
      <c r="O1" s="91" t="str">
        <f ca="1">MID(CELL("filename",A1),FIND("]",CELL("filename",A1))+1,255)</f>
        <v>TS.Content</v>
      </c>
      <c r="P1" s="63"/>
      <c r="Q1" s="63"/>
      <c r="R1" s="63"/>
      <c r="S1" s="63"/>
      <c r="T1" s="63"/>
      <c r="U1" s="64"/>
      <c r="V1" s="78" t="s">
        <v>2</v>
      </c>
      <c r="W1" s="63"/>
      <c r="X1" s="63"/>
      <c r="Y1" s="63"/>
      <c r="Z1" s="62" t="str">
        <f>'01.Cover'!B9</f>
        <v>Technical Specification</v>
      </c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4"/>
    </row>
    <row r="2" spans="1:47">
      <c r="A2" s="65"/>
      <c r="B2" s="66"/>
      <c r="C2" s="67"/>
      <c r="D2" s="65"/>
      <c r="E2" s="66"/>
      <c r="F2" s="66"/>
      <c r="G2" s="66"/>
      <c r="H2" s="66"/>
      <c r="I2" s="66"/>
      <c r="J2" s="67"/>
      <c r="K2" s="65"/>
      <c r="L2" s="66"/>
      <c r="M2" s="66"/>
      <c r="N2" s="77"/>
      <c r="O2" s="68"/>
      <c r="P2" s="69"/>
      <c r="Q2" s="69"/>
      <c r="R2" s="69"/>
      <c r="S2" s="69"/>
      <c r="T2" s="69"/>
      <c r="U2" s="70"/>
      <c r="V2" s="77"/>
      <c r="W2" s="66"/>
      <c r="X2" s="66"/>
      <c r="Y2" s="77"/>
      <c r="Z2" s="65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/>
    </row>
    <row r="3" spans="1:47">
      <c r="A3" s="68"/>
      <c r="B3" s="69"/>
      <c r="C3" s="70"/>
      <c r="D3" s="68"/>
      <c r="E3" s="69"/>
      <c r="F3" s="69"/>
      <c r="G3" s="69"/>
      <c r="H3" s="69"/>
      <c r="I3" s="69"/>
      <c r="J3" s="70"/>
      <c r="K3" s="68"/>
      <c r="L3" s="69"/>
      <c r="M3" s="69"/>
      <c r="N3" s="69"/>
      <c r="O3" s="90" t="s">
        <v>121</v>
      </c>
      <c r="P3" s="52"/>
      <c r="Q3" s="52"/>
      <c r="R3" s="52"/>
      <c r="S3" s="52"/>
      <c r="T3" s="52"/>
      <c r="U3" s="53"/>
      <c r="V3" s="69"/>
      <c r="W3" s="69"/>
      <c r="X3" s="69"/>
      <c r="Y3" s="69"/>
      <c r="Z3" s="68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</row>
    <row r="4" spans="1:47" ht="16.5">
      <c r="A4" s="22"/>
      <c r="B4" s="22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16.5">
      <c r="A5" s="6"/>
      <c r="B5" s="23" t="s">
        <v>16</v>
      </c>
      <c r="C5" s="24"/>
      <c r="D5" s="24"/>
      <c r="E5" s="25"/>
      <c r="F5" s="23" t="s">
        <v>17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3" t="s">
        <v>18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5"/>
      <c r="AP5" s="6"/>
      <c r="AQ5" s="6"/>
      <c r="AR5" s="6"/>
      <c r="AS5" s="6"/>
      <c r="AT5" s="6"/>
      <c r="AU5" s="6"/>
    </row>
    <row r="6" spans="1:47" ht="16.5">
      <c r="A6" s="6"/>
      <c r="B6" s="32" t="s">
        <v>19</v>
      </c>
      <c r="C6" s="6"/>
      <c r="D6" s="6"/>
      <c r="E6" s="26"/>
      <c r="F6" s="27" t="s">
        <v>20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26"/>
      <c r="AA6" s="16" t="s">
        <v>124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26"/>
      <c r="AP6" s="6"/>
      <c r="AQ6" s="6"/>
      <c r="AR6" s="6"/>
      <c r="AS6" s="6"/>
      <c r="AT6" s="6"/>
      <c r="AU6" s="6"/>
    </row>
    <row r="7" spans="1:47" ht="16.5">
      <c r="A7" s="6"/>
      <c r="B7" s="32" t="s">
        <v>21</v>
      </c>
      <c r="C7" s="6"/>
      <c r="D7" s="6"/>
      <c r="E7" s="26"/>
      <c r="F7" s="41" t="s">
        <v>22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26"/>
      <c r="AA7" s="16" t="s">
        <v>125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26"/>
      <c r="AP7" s="6"/>
      <c r="AQ7" s="6"/>
      <c r="AR7" s="6"/>
      <c r="AS7" s="6"/>
      <c r="AT7" s="6"/>
      <c r="AU7" s="6"/>
    </row>
    <row r="8" spans="1:47" ht="16.5">
      <c r="A8" s="6"/>
      <c r="B8" s="32" t="s">
        <v>23</v>
      </c>
      <c r="C8" s="6"/>
      <c r="D8" s="6"/>
      <c r="E8" s="6"/>
      <c r="F8" s="27" t="s">
        <v>24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26"/>
      <c r="AA8" s="16" t="s">
        <v>126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26"/>
      <c r="AP8" s="6"/>
      <c r="AQ8" s="6"/>
      <c r="AR8" s="6"/>
      <c r="AS8" s="6"/>
      <c r="AT8" s="6"/>
      <c r="AU8" s="6"/>
    </row>
    <row r="9" spans="1:47" ht="16.5">
      <c r="A9" s="6"/>
      <c r="B9" s="50" t="s">
        <v>25</v>
      </c>
      <c r="C9" s="47"/>
      <c r="D9" s="47"/>
      <c r="E9" s="47"/>
      <c r="F9" s="29" t="s">
        <v>26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30"/>
      <c r="AA9" s="47" t="s">
        <v>127</v>
      </c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30"/>
      <c r="AP9" s="6"/>
      <c r="AQ9" s="6"/>
      <c r="AR9" s="6"/>
      <c r="AS9" s="6"/>
      <c r="AT9" s="6"/>
      <c r="AU9" s="6"/>
    </row>
    <row r="10" spans="1:47" ht="16.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</row>
    <row r="11" spans="1:47" ht="16.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</row>
    <row r="12" spans="1:47" ht="16.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Z1:AU3"/>
    <mergeCell ref="O3:U3"/>
    <mergeCell ref="A1:C3"/>
    <mergeCell ref="D1:J3"/>
    <mergeCell ref="K1:N3"/>
    <mergeCell ref="O1:U2"/>
    <mergeCell ref="V1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T1000"/>
  <sheetViews>
    <sheetView showGridLines="0" workbookViewId="0">
      <selection activeCell="T19" sqref="T19"/>
    </sheetView>
  </sheetViews>
  <sheetFormatPr defaultColWidth="14.3984375" defaultRowHeight="14.25"/>
  <cols>
    <col min="1" max="9" width="2.86328125" customWidth="1"/>
    <col min="10" max="10" width="7.796875" customWidth="1"/>
    <col min="11" max="18" width="2.86328125" customWidth="1"/>
    <col min="19" max="19" width="16.1328125" customWidth="1"/>
    <col min="20" max="46" width="2.86328125" customWidth="1"/>
  </cols>
  <sheetData>
    <row r="1" spans="1:46">
      <c r="A1" s="75" t="s">
        <v>0</v>
      </c>
      <c r="B1" s="63"/>
      <c r="C1" s="64"/>
      <c r="D1" s="62" t="str">
        <f>'01.Cover'!Y12</f>
        <v>TS_CUSTOMER_RANK</v>
      </c>
      <c r="E1" s="63"/>
      <c r="F1" s="63"/>
      <c r="G1" s="63"/>
      <c r="H1" s="63"/>
      <c r="I1" s="63"/>
      <c r="J1" s="64"/>
      <c r="K1" s="75" t="s">
        <v>1</v>
      </c>
      <c r="L1" s="63"/>
      <c r="M1" s="63"/>
      <c r="N1" s="63"/>
      <c r="O1" s="91" t="str">
        <f ca="1">MID(CELL("filename",A1),FIND("]",CELL("filename",A1))+1,255)</f>
        <v>TS.Overview</v>
      </c>
      <c r="P1" s="63"/>
      <c r="Q1" s="63"/>
      <c r="R1" s="63"/>
      <c r="S1" s="63"/>
      <c r="T1" s="63"/>
      <c r="U1" s="64"/>
      <c r="V1" s="78" t="s">
        <v>2</v>
      </c>
      <c r="W1" s="63"/>
      <c r="X1" s="63"/>
      <c r="Y1" s="63"/>
      <c r="Z1" s="62" t="str">
        <f>'01.Cover'!B9</f>
        <v>Technical Specification</v>
      </c>
      <c r="AA1" s="63"/>
      <c r="AB1" s="63"/>
      <c r="AC1" s="63"/>
      <c r="AD1" s="63"/>
      <c r="AE1" s="63"/>
      <c r="AF1" s="63"/>
      <c r="AG1" s="63"/>
      <c r="AH1" s="63"/>
      <c r="AI1" s="63"/>
      <c r="AJ1" s="64"/>
      <c r="AK1" s="62"/>
      <c r="AL1" s="63"/>
      <c r="AM1" s="63"/>
      <c r="AN1" s="63"/>
      <c r="AO1" s="63"/>
      <c r="AP1" s="63"/>
      <c r="AQ1" s="63"/>
      <c r="AR1" s="63"/>
      <c r="AS1" s="63"/>
      <c r="AT1" s="64"/>
    </row>
    <row r="2" spans="1:46">
      <c r="A2" s="65"/>
      <c r="B2" s="66"/>
      <c r="C2" s="67"/>
      <c r="D2" s="65"/>
      <c r="E2" s="66"/>
      <c r="F2" s="66"/>
      <c r="G2" s="66"/>
      <c r="H2" s="66"/>
      <c r="I2" s="66"/>
      <c r="J2" s="67"/>
      <c r="K2" s="65"/>
      <c r="L2" s="66"/>
      <c r="M2" s="66"/>
      <c r="N2" s="77"/>
      <c r="O2" s="68"/>
      <c r="P2" s="69"/>
      <c r="Q2" s="69"/>
      <c r="R2" s="69"/>
      <c r="S2" s="69"/>
      <c r="T2" s="69"/>
      <c r="U2" s="70"/>
      <c r="V2" s="77"/>
      <c r="W2" s="66"/>
      <c r="X2" s="66"/>
      <c r="Y2" s="77"/>
      <c r="Z2" s="65"/>
      <c r="AA2" s="66"/>
      <c r="AB2" s="66"/>
      <c r="AC2" s="66"/>
      <c r="AD2" s="66"/>
      <c r="AE2" s="66"/>
      <c r="AF2" s="66"/>
      <c r="AG2" s="66"/>
      <c r="AH2" s="66"/>
      <c r="AI2" s="66"/>
      <c r="AJ2" s="67"/>
      <c r="AK2" s="65"/>
      <c r="AL2" s="66"/>
      <c r="AM2" s="66"/>
      <c r="AN2" s="66"/>
      <c r="AO2" s="66"/>
      <c r="AP2" s="66"/>
      <c r="AQ2" s="66"/>
      <c r="AR2" s="66"/>
      <c r="AS2" s="66"/>
      <c r="AT2" s="67"/>
    </row>
    <row r="3" spans="1:46">
      <c r="A3" s="68"/>
      <c r="B3" s="69"/>
      <c r="C3" s="70"/>
      <c r="D3" s="68"/>
      <c r="E3" s="69"/>
      <c r="F3" s="69"/>
      <c r="G3" s="69"/>
      <c r="H3" s="69"/>
      <c r="I3" s="69"/>
      <c r="J3" s="70"/>
      <c r="K3" s="68"/>
      <c r="L3" s="69"/>
      <c r="M3" s="69"/>
      <c r="N3" s="69"/>
      <c r="O3" s="90" t="s">
        <v>121</v>
      </c>
      <c r="P3" s="52"/>
      <c r="Q3" s="52"/>
      <c r="R3" s="52"/>
      <c r="S3" s="52"/>
      <c r="T3" s="52"/>
      <c r="U3" s="53"/>
      <c r="V3" s="69"/>
      <c r="W3" s="69"/>
      <c r="X3" s="69"/>
      <c r="Y3" s="69"/>
      <c r="Z3" s="68"/>
      <c r="AA3" s="69"/>
      <c r="AB3" s="69"/>
      <c r="AC3" s="69"/>
      <c r="AD3" s="69"/>
      <c r="AE3" s="69"/>
      <c r="AF3" s="69"/>
      <c r="AG3" s="69"/>
      <c r="AH3" s="69"/>
      <c r="AI3" s="69"/>
      <c r="AJ3" s="70"/>
      <c r="AK3" s="68"/>
      <c r="AL3" s="69"/>
      <c r="AM3" s="69"/>
      <c r="AN3" s="69"/>
      <c r="AO3" s="69"/>
      <c r="AP3" s="69"/>
      <c r="AQ3" s="69"/>
      <c r="AR3" s="69"/>
      <c r="AS3" s="69"/>
      <c r="AT3" s="70"/>
    </row>
    <row r="4" spans="1:46" ht="16.5">
      <c r="A4" s="22" t="s">
        <v>27</v>
      </c>
      <c r="B4" s="22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16.5">
      <c r="A5" s="6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</row>
    <row r="6" spans="1:46" ht="16.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16.5">
      <c r="A7" s="6"/>
      <c r="B7" s="6"/>
      <c r="C7" s="6"/>
      <c r="D7" s="6" t="s">
        <v>28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6.5">
      <c r="A8" s="6"/>
      <c r="B8" s="6"/>
      <c r="C8" s="6"/>
      <c r="D8" s="92" t="s">
        <v>128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4"/>
    </row>
    <row r="9" spans="1:46" ht="16.5">
      <c r="A9" s="6"/>
      <c r="B9" s="6"/>
      <c r="C9" s="6"/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70"/>
    </row>
    <row r="10" spans="1:46" ht="16.5">
      <c r="A10" s="6"/>
      <c r="B10" s="6"/>
      <c r="C10" s="6"/>
      <c r="D10" s="31" t="s">
        <v>29</v>
      </c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6"/>
      <c r="T10" s="32" t="s">
        <v>129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26"/>
    </row>
    <row r="11" spans="1:46" ht="16.5">
      <c r="A11" s="6"/>
      <c r="B11" s="6"/>
      <c r="C11" s="6"/>
      <c r="D11" s="31" t="s">
        <v>30</v>
      </c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26"/>
      <c r="T11" s="32" t="s">
        <v>130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26"/>
    </row>
    <row r="12" spans="1:46" ht="16.5">
      <c r="A12" s="6"/>
      <c r="B12" s="6"/>
      <c r="C12" s="6"/>
      <c r="D12" s="31" t="s">
        <v>31</v>
      </c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26"/>
      <c r="T12" s="32" t="s">
        <v>230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26"/>
    </row>
    <row r="13" spans="1:46" ht="16.5">
      <c r="A13" s="6"/>
      <c r="B13" s="6"/>
      <c r="C13" s="6"/>
      <c r="D13" s="31" t="s">
        <v>32</v>
      </c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26"/>
      <c r="T13" s="32" t="s">
        <v>131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26"/>
    </row>
    <row r="14" spans="1:46" ht="16.5">
      <c r="A14" s="6"/>
      <c r="B14" s="6"/>
      <c r="C14" s="6"/>
      <c r="D14" s="31" t="s">
        <v>33</v>
      </c>
      <c r="E14" s="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26"/>
      <c r="T14" s="16" t="s">
        <v>132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26"/>
    </row>
    <row r="15" spans="1:46" ht="16.5">
      <c r="A15" s="6"/>
      <c r="B15" s="6"/>
      <c r="C15" s="6"/>
      <c r="D15" s="31" t="s">
        <v>34</v>
      </c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6"/>
      <c r="T15" s="16" t="s">
        <v>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26"/>
    </row>
    <row r="16" spans="1:46" ht="16.5">
      <c r="A16" s="42"/>
      <c r="B16" s="42"/>
      <c r="C16" s="42"/>
      <c r="D16" s="31" t="s">
        <v>35</v>
      </c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6"/>
      <c r="T16" s="32" t="s">
        <v>134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26"/>
    </row>
    <row r="17" spans="1:46" ht="16.5">
      <c r="A17" s="42"/>
      <c r="B17" s="42"/>
      <c r="C17" s="42"/>
      <c r="D17" s="31" t="s">
        <v>36</v>
      </c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26"/>
      <c r="T17" s="16" t="s">
        <v>135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26"/>
    </row>
    <row r="18" spans="1:46" ht="16.5">
      <c r="A18" s="42"/>
      <c r="B18" s="42"/>
      <c r="C18" s="42"/>
      <c r="D18" s="31" t="s">
        <v>37</v>
      </c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6"/>
      <c r="T18" s="16" t="s">
        <v>136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26"/>
    </row>
    <row r="19" spans="1:46" ht="16.5">
      <c r="A19" s="42"/>
      <c r="B19" s="42"/>
      <c r="C19" s="42"/>
      <c r="D19" s="33" t="s">
        <v>38</v>
      </c>
      <c r="E19" s="48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30"/>
      <c r="T19" s="28" t="s">
        <v>137</v>
      </c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30"/>
    </row>
    <row r="20" spans="1:46" ht="16.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</row>
    <row r="21" spans="1:46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</row>
    <row r="22" spans="1:46" ht="15.75" customHeight="1"/>
    <row r="23" spans="1:46" ht="15.75" customHeight="1"/>
    <row r="24" spans="1:46" ht="15.75" customHeight="1"/>
    <row r="25" spans="1:46" ht="15.75" customHeight="1"/>
    <row r="26" spans="1:46" ht="15.75" customHeight="1"/>
    <row r="27" spans="1:46" ht="15.75" customHeight="1"/>
    <row r="28" spans="1:46" ht="15.75" customHeight="1"/>
    <row r="29" spans="1:46" ht="15.75" customHeight="1"/>
    <row r="30" spans="1:46" ht="15.75" customHeight="1"/>
    <row r="31" spans="1:46" ht="15.75" customHeight="1"/>
    <row r="32" spans="1:4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O3:U3"/>
    <mergeCell ref="D8:AT9"/>
    <mergeCell ref="A1:C3"/>
    <mergeCell ref="D1:J3"/>
    <mergeCell ref="K1:N3"/>
    <mergeCell ref="O1:U2"/>
    <mergeCell ref="V1:Y3"/>
    <mergeCell ref="Z1:AJ3"/>
    <mergeCell ref="AK1:A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T959"/>
  <sheetViews>
    <sheetView showGridLines="0" workbookViewId="0">
      <selection activeCell="Z25" sqref="Z25"/>
    </sheetView>
  </sheetViews>
  <sheetFormatPr defaultColWidth="14.3984375" defaultRowHeight="14.25"/>
  <cols>
    <col min="1" max="3" width="2.86328125" customWidth="1"/>
    <col min="4" max="4" width="3.3984375" customWidth="1"/>
    <col min="5" max="7" width="2.86328125" customWidth="1"/>
    <col min="8" max="8" width="6.3984375" customWidth="1"/>
    <col min="9" max="14" width="2.86328125" customWidth="1"/>
    <col min="15" max="15" width="17.3984375" customWidth="1"/>
    <col min="16" max="17" width="2.86328125" customWidth="1"/>
    <col min="18" max="18" width="3.73046875" customWidth="1"/>
    <col min="19" max="46" width="2.86328125" customWidth="1"/>
  </cols>
  <sheetData>
    <row r="1" spans="1:46">
      <c r="A1" s="75" t="s">
        <v>0</v>
      </c>
      <c r="B1" s="63"/>
      <c r="C1" s="64"/>
      <c r="D1" s="62" t="str">
        <f>'01.Cover'!Y12</f>
        <v>TS_CUSTOMER_RANK</v>
      </c>
      <c r="E1" s="63"/>
      <c r="F1" s="63"/>
      <c r="G1" s="63"/>
      <c r="H1" s="63"/>
      <c r="I1" s="63"/>
      <c r="J1" s="64"/>
      <c r="K1" s="75" t="s">
        <v>1</v>
      </c>
      <c r="L1" s="63"/>
      <c r="M1" s="63"/>
      <c r="N1" s="63"/>
      <c r="O1" s="97" t="str">
        <f ca="1">MID(CELL("filename",A1),FIND("]",CELL("filename",A1))+1,255)</f>
        <v>TS.Technical Details</v>
      </c>
      <c r="P1" s="63"/>
      <c r="Q1" s="63"/>
      <c r="R1" s="63"/>
      <c r="S1" s="63"/>
      <c r="T1" s="63"/>
      <c r="U1" s="64"/>
      <c r="V1" s="78" t="s">
        <v>2</v>
      </c>
      <c r="W1" s="63"/>
      <c r="X1" s="63"/>
      <c r="Y1" s="63"/>
      <c r="Z1" s="62" t="str">
        <f>'01.Cover'!B9</f>
        <v>Technical Specification</v>
      </c>
      <c r="AA1" s="63"/>
      <c r="AB1" s="63"/>
      <c r="AC1" s="63"/>
      <c r="AD1" s="63"/>
      <c r="AE1" s="63"/>
      <c r="AF1" s="63"/>
      <c r="AG1" s="63"/>
      <c r="AH1" s="63"/>
      <c r="AI1" s="63"/>
      <c r="AJ1" s="64"/>
      <c r="AK1" s="62"/>
      <c r="AL1" s="63"/>
      <c r="AM1" s="63"/>
      <c r="AN1" s="63"/>
      <c r="AO1" s="63"/>
      <c r="AP1" s="63"/>
      <c r="AQ1" s="63"/>
      <c r="AR1" s="63"/>
      <c r="AS1" s="63"/>
      <c r="AT1" s="63"/>
    </row>
    <row r="2" spans="1:46">
      <c r="A2" s="65"/>
      <c r="B2" s="66"/>
      <c r="C2" s="67"/>
      <c r="D2" s="65"/>
      <c r="E2" s="66"/>
      <c r="F2" s="66"/>
      <c r="G2" s="66"/>
      <c r="H2" s="66"/>
      <c r="I2" s="66"/>
      <c r="J2" s="67"/>
      <c r="K2" s="65"/>
      <c r="L2" s="66"/>
      <c r="M2" s="66"/>
      <c r="N2" s="77"/>
      <c r="O2" s="68"/>
      <c r="P2" s="69"/>
      <c r="Q2" s="69"/>
      <c r="R2" s="69"/>
      <c r="S2" s="69"/>
      <c r="T2" s="69"/>
      <c r="U2" s="70"/>
      <c r="V2" s="77"/>
      <c r="W2" s="66"/>
      <c r="X2" s="66"/>
      <c r="Y2" s="77"/>
      <c r="Z2" s="65"/>
      <c r="AA2" s="66"/>
      <c r="AB2" s="66"/>
      <c r="AC2" s="66"/>
      <c r="AD2" s="66"/>
      <c r="AE2" s="66"/>
      <c r="AF2" s="66"/>
      <c r="AG2" s="66"/>
      <c r="AH2" s="66"/>
      <c r="AI2" s="66"/>
      <c r="AJ2" s="67"/>
      <c r="AK2" s="65"/>
      <c r="AL2" s="66"/>
      <c r="AM2" s="66"/>
      <c r="AN2" s="66"/>
      <c r="AO2" s="66"/>
      <c r="AP2" s="66"/>
      <c r="AQ2" s="66"/>
      <c r="AR2" s="66"/>
      <c r="AS2" s="66"/>
      <c r="AT2" s="66"/>
    </row>
    <row r="3" spans="1:46">
      <c r="A3" s="68"/>
      <c r="B3" s="69"/>
      <c r="C3" s="70"/>
      <c r="D3" s="68"/>
      <c r="E3" s="69"/>
      <c r="F3" s="69"/>
      <c r="G3" s="69"/>
      <c r="H3" s="69"/>
      <c r="I3" s="69"/>
      <c r="J3" s="70"/>
      <c r="K3" s="68"/>
      <c r="L3" s="69"/>
      <c r="M3" s="69"/>
      <c r="N3" s="69"/>
      <c r="O3" s="96" t="s">
        <v>121</v>
      </c>
      <c r="P3" s="52"/>
      <c r="Q3" s="52"/>
      <c r="R3" s="52"/>
      <c r="S3" s="52"/>
      <c r="T3" s="52"/>
      <c r="U3" s="53"/>
      <c r="V3" s="69"/>
      <c r="W3" s="69"/>
      <c r="X3" s="69"/>
      <c r="Y3" s="69"/>
      <c r="Z3" s="68"/>
      <c r="AA3" s="69"/>
      <c r="AB3" s="69"/>
      <c r="AC3" s="69"/>
      <c r="AD3" s="69"/>
      <c r="AE3" s="69"/>
      <c r="AF3" s="69"/>
      <c r="AG3" s="69"/>
      <c r="AH3" s="69"/>
      <c r="AI3" s="69"/>
      <c r="AJ3" s="70"/>
      <c r="AK3" s="68"/>
      <c r="AL3" s="69"/>
      <c r="AM3" s="69"/>
      <c r="AN3" s="69"/>
      <c r="AO3" s="69"/>
      <c r="AP3" s="69"/>
      <c r="AQ3" s="69"/>
      <c r="AR3" s="69"/>
      <c r="AS3" s="69"/>
      <c r="AT3" s="69"/>
    </row>
    <row r="4" spans="1:46" ht="16.5">
      <c r="A4" s="49"/>
      <c r="B4" s="49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6"/>
      <c r="AS4" s="36"/>
      <c r="AT4" s="36"/>
    </row>
    <row r="5" spans="1:46" ht="21.75" customHeight="1">
      <c r="A5" s="37" t="s">
        <v>39</v>
      </c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6"/>
      <c r="AS5" s="36"/>
      <c r="AT5" s="36"/>
    </row>
    <row r="6" spans="1:46" ht="16.5">
      <c r="A6" s="35"/>
      <c r="B6" s="35"/>
      <c r="C6" s="34" t="s">
        <v>138</v>
      </c>
      <c r="D6" s="4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42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6"/>
      <c r="AS6" s="36"/>
      <c r="AT6" s="36"/>
    </row>
    <row r="7" spans="1:46" ht="16.5">
      <c r="A7" s="35"/>
      <c r="B7" s="35"/>
      <c r="C7" s="34"/>
      <c r="D7" s="42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42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6"/>
      <c r="AS7" s="36"/>
      <c r="AT7" s="36"/>
    </row>
    <row r="8" spans="1:46" ht="16.5">
      <c r="A8" s="35"/>
      <c r="B8" s="35"/>
      <c r="C8" s="35" t="s">
        <v>139</v>
      </c>
      <c r="D8" s="6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6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6"/>
      <c r="AS8" s="36"/>
      <c r="AT8" s="36"/>
    </row>
    <row r="9" spans="1:46" ht="16.5">
      <c r="A9" s="35"/>
      <c r="B9" s="35"/>
      <c r="C9" s="35" t="s">
        <v>140</v>
      </c>
      <c r="D9" s="6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6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6"/>
      <c r="AS9" s="36"/>
      <c r="AT9" s="36"/>
    </row>
    <row r="10" spans="1:46" ht="16.5">
      <c r="A10" s="35"/>
      <c r="B10" s="35"/>
      <c r="C10" s="35" t="s">
        <v>141</v>
      </c>
      <c r="D10" s="6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6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6"/>
      <c r="AS10" s="36"/>
      <c r="AT10" s="36"/>
    </row>
    <row r="11" spans="1:46" ht="16.5">
      <c r="A11" s="35"/>
      <c r="B11" s="35"/>
      <c r="C11" s="35" t="s">
        <v>142</v>
      </c>
      <c r="D11" s="6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6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6"/>
      <c r="AS11" s="36"/>
      <c r="AT11" s="36"/>
    </row>
    <row r="12" spans="1:46" ht="16.5">
      <c r="A12" s="35"/>
      <c r="B12" s="35"/>
      <c r="C12" s="35" t="s">
        <v>143</v>
      </c>
      <c r="D12" s="6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6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6"/>
      <c r="AS12" s="36"/>
      <c r="AT12" s="36"/>
    </row>
    <row r="13" spans="1:46" ht="16.5">
      <c r="A13" s="35"/>
      <c r="B13" s="35"/>
      <c r="C13" s="35" t="s">
        <v>144</v>
      </c>
      <c r="D13" s="6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6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6"/>
      <c r="AS13" s="36"/>
      <c r="AT13" s="36"/>
    </row>
    <row r="14" spans="1:46" ht="16.5">
      <c r="A14" s="35"/>
      <c r="B14" s="35"/>
      <c r="C14" s="35" t="s">
        <v>145</v>
      </c>
      <c r="D14" s="6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6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6"/>
      <c r="AS14" s="36"/>
      <c r="AT14" s="36"/>
    </row>
    <row r="15" spans="1:46" ht="16.5">
      <c r="A15" s="35"/>
      <c r="B15" s="35"/>
      <c r="C15" s="35" t="s">
        <v>146</v>
      </c>
      <c r="D15" s="6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6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6"/>
      <c r="AS15" s="36"/>
      <c r="AT15" s="36"/>
    </row>
    <row r="16" spans="1:46" ht="16.5">
      <c r="A16" s="35"/>
      <c r="B16" s="35"/>
      <c r="C16" s="35" t="s">
        <v>147</v>
      </c>
      <c r="D16" s="6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6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6"/>
      <c r="AS16" s="36"/>
      <c r="AT16" s="36"/>
    </row>
    <row r="17" spans="1:46" ht="16.5">
      <c r="A17" s="35"/>
      <c r="B17" s="35"/>
      <c r="C17" s="35"/>
      <c r="D17" s="6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6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6"/>
      <c r="AS17" s="36"/>
      <c r="AT17" s="36"/>
    </row>
    <row r="18" spans="1:46" ht="16.5">
      <c r="A18" s="35"/>
      <c r="B18" s="35"/>
      <c r="C18" s="35"/>
      <c r="D18" s="6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6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6"/>
      <c r="AS18" s="36"/>
      <c r="AT18" s="36"/>
    </row>
    <row r="19" spans="1:46" ht="16.5">
      <c r="A19" s="35"/>
      <c r="B19" s="35"/>
      <c r="C19" s="35"/>
      <c r="D19" s="6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6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6"/>
      <c r="AS19" s="36"/>
      <c r="AT19" s="36"/>
    </row>
    <row r="20" spans="1:46" ht="16.5">
      <c r="A20" s="35"/>
      <c r="B20" s="35"/>
      <c r="C20" s="35"/>
      <c r="D20" s="6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6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6"/>
      <c r="AS20" s="36"/>
      <c r="AT20" s="36"/>
    </row>
    <row r="21" spans="1:46" ht="16.5">
      <c r="A21" s="35"/>
      <c r="B21" s="35"/>
      <c r="C21" s="35"/>
      <c r="D21" s="6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6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6"/>
      <c r="AS21" s="36"/>
      <c r="AT21" s="36"/>
    </row>
    <row r="22" spans="1:46" ht="16.5">
      <c r="A22" s="35"/>
      <c r="B22" s="35"/>
      <c r="C22" s="35"/>
      <c r="D22" s="6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6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6"/>
      <c r="AS22" s="36"/>
      <c r="AT22" s="36"/>
    </row>
    <row r="23" spans="1:46" ht="16.5">
      <c r="A23" s="35"/>
      <c r="B23" s="35"/>
      <c r="C23" s="35"/>
      <c r="D23" s="6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6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6"/>
      <c r="AS23" s="36"/>
      <c r="AT23" s="36"/>
    </row>
    <row r="24" spans="1:46" ht="16.5">
      <c r="A24" s="35"/>
      <c r="B24" s="35"/>
      <c r="C24" s="35"/>
      <c r="D24" s="6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6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6"/>
      <c r="AS24" s="36"/>
      <c r="AT24" s="36"/>
    </row>
    <row r="25" spans="1:46" ht="16.5">
      <c r="A25" s="35"/>
      <c r="B25" s="35"/>
      <c r="C25" s="35"/>
      <c r="D25" s="6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6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6"/>
      <c r="AS25" s="36"/>
      <c r="AT25" s="36"/>
    </row>
    <row r="26" spans="1:46" ht="16.5">
      <c r="A26" s="35"/>
      <c r="B26" s="35"/>
      <c r="C26" s="35"/>
      <c r="D26" s="6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6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6"/>
      <c r="AS26" s="36"/>
      <c r="AT26" s="36"/>
    </row>
    <row r="27" spans="1:46" ht="16.5">
      <c r="A27" s="42"/>
      <c r="B27" s="42"/>
      <c r="C27" s="6"/>
      <c r="D27" s="6"/>
      <c r="E27" s="3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42"/>
      <c r="AK27" s="42"/>
      <c r="AL27" s="42"/>
      <c r="AM27" s="42"/>
      <c r="AN27" s="42"/>
      <c r="AO27" s="42"/>
      <c r="AP27" s="42"/>
      <c r="AQ27" s="42"/>
    </row>
    <row r="28" spans="1:46" ht="16.5">
      <c r="A28" s="42"/>
      <c r="B28" s="42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42"/>
      <c r="AK28" s="42"/>
      <c r="AL28" s="42"/>
      <c r="AM28" s="42"/>
      <c r="AN28" s="42"/>
      <c r="AO28" s="42"/>
      <c r="AP28" s="42"/>
      <c r="AQ28" s="42"/>
    </row>
    <row r="29" spans="1:46" ht="33.75" customHeight="1">
      <c r="A29" s="42"/>
      <c r="B29" s="42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42"/>
      <c r="AK29" s="42"/>
      <c r="AL29" s="42"/>
      <c r="AM29" s="42"/>
      <c r="AN29" s="42"/>
      <c r="AO29" s="42"/>
      <c r="AP29" s="42"/>
      <c r="AQ29" s="42"/>
    </row>
    <row r="30" spans="1:46" ht="30.75" customHeight="1">
      <c r="A30" s="42"/>
      <c r="B30" s="42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42"/>
      <c r="AK30" s="42"/>
      <c r="AL30" s="42"/>
      <c r="AM30" s="42"/>
      <c r="AN30" s="42"/>
      <c r="AO30" s="42"/>
      <c r="AP30" s="42"/>
      <c r="AQ30" s="42"/>
    </row>
    <row r="31" spans="1:46" ht="16.5">
      <c r="A31" s="42"/>
      <c r="B31" s="42"/>
      <c r="C31" s="34" t="s">
        <v>148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</row>
    <row r="32" spans="1:46" ht="16.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</row>
    <row r="33" spans="1:46" ht="16.5">
      <c r="A33" s="42"/>
      <c r="B33" s="42"/>
      <c r="C33" s="42" t="s">
        <v>149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</row>
    <row r="34" spans="1:46" ht="16.5">
      <c r="A34" s="42"/>
      <c r="B34" s="42"/>
      <c r="C34" s="42" t="s">
        <v>150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</row>
    <row r="35" spans="1:46" ht="16.5">
      <c r="A35" s="42"/>
      <c r="B35" s="42"/>
      <c r="C35" s="42" t="s">
        <v>151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</row>
    <row r="36" spans="1:46" ht="16.5">
      <c r="A36" s="42"/>
      <c r="B36" s="42"/>
      <c r="C36" s="42" t="s">
        <v>152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</row>
    <row r="37" spans="1:46" ht="16.5">
      <c r="A37" s="42"/>
      <c r="B37" s="42"/>
      <c r="C37" s="42" t="s">
        <v>153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</row>
    <row r="38" spans="1:46" ht="15.75" customHeight="1">
      <c r="A38" s="42"/>
      <c r="B38" s="42"/>
      <c r="C38" s="42" t="s">
        <v>154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</row>
    <row r="39" spans="1:46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</row>
    <row r="40" spans="1:46" ht="15.75" customHeight="1">
      <c r="A40" s="42"/>
      <c r="B40" s="42"/>
      <c r="C40" s="34" t="s">
        <v>155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</row>
    <row r="41" spans="1:4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</row>
    <row r="42" spans="1:46" ht="15.75" customHeight="1">
      <c r="A42" s="42"/>
      <c r="B42" s="42"/>
      <c r="C42" s="51" t="s">
        <v>156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3"/>
      <c r="O42" s="51" t="s">
        <v>157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3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</row>
    <row r="43" spans="1:46" ht="51" customHeight="1">
      <c r="A43" s="6"/>
      <c r="B43" s="6"/>
      <c r="C43" s="94" t="s">
        <v>158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3"/>
      <c r="O43" s="95" t="s">
        <v>159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3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14"/>
      <c r="AS43" s="14"/>
      <c r="AT43" s="14"/>
    </row>
    <row r="44" spans="1:46" ht="51" customHeight="1">
      <c r="A44" s="42"/>
      <c r="B44" s="42"/>
      <c r="C44" s="94" t="s">
        <v>160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3"/>
      <c r="O44" s="94" t="s">
        <v>161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3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</row>
    <row r="45" spans="1:46" ht="51" customHeight="1">
      <c r="A45" s="42"/>
      <c r="B45" s="42"/>
      <c r="C45" s="93" t="s">
        <v>162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3"/>
      <c r="O45" s="93" t="s">
        <v>163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3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</row>
    <row r="46" spans="1:46" ht="51" customHeight="1">
      <c r="A46" s="42"/>
      <c r="B46" s="42"/>
      <c r="C46" s="93" t="s">
        <v>164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3"/>
      <c r="O46" s="93" t="s">
        <v>165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3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</row>
    <row r="47" spans="1:46" ht="57.75" customHeight="1">
      <c r="A47" s="42"/>
      <c r="B47" s="42"/>
      <c r="C47" s="93" t="s">
        <v>166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3"/>
      <c r="O47" s="93" t="s">
        <v>167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3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</row>
    <row r="48" spans="1:46" ht="50.25" customHeight="1">
      <c r="A48" s="42"/>
      <c r="B48" s="42"/>
      <c r="C48" s="93" t="s">
        <v>168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  <c r="O48" s="93" t="s">
        <v>169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3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</row>
    <row r="49" spans="1:43" ht="45" customHeight="1">
      <c r="A49" s="42"/>
      <c r="B49" s="42"/>
      <c r="C49" s="93" t="s">
        <v>170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3"/>
      <c r="O49" s="93" t="s">
        <v>171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3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</row>
    <row r="50" spans="1:43" ht="15.75" customHeight="1">
      <c r="A50" s="42"/>
      <c r="B50" s="42"/>
      <c r="C50" s="42" t="s">
        <v>172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 t="s">
        <v>173</v>
      </c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</row>
    <row r="51" spans="1:43" ht="15.75" customHeight="1">
      <c r="A51" s="42"/>
      <c r="B51" s="42"/>
      <c r="C51" s="42" t="s">
        <v>174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 t="s">
        <v>175</v>
      </c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</row>
    <row r="52" spans="1:43" ht="15.75" customHeight="1">
      <c r="A52" s="42"/>
      <c r="B52" s="42"/>
      <c r="C52" s="34" t="s">
        <v>176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</row>
    <row r="53" spans="1:43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</row>
    <row r="54" spans="1:43" ht="15.75" customHeight="1">
      <c r="A54" s="42"/>
      <c r="B54" s="42"/>
      <c r="C54" s="51" t="s">
        <v>177</v>
      </c>
      <c r="D54" s="52"/>
      <c r="E54" s="52"/>
      <c r="F54" s="52"/>
      <c r="G54" s="52"/>
      <c r="H54" s="52"/>
      <c r="I54" s="52"/>
      <c r="J54" s="52"/>
      <c r="K54" s="53"/>
      <c r="L54" s="51" t="s">
        <v>157</v>
      </c>
      <c r="M54" s="52"/>
      <c r="N54" s="52"/>
      <c r="O54" s="52"/>
      <c r="P54" s="52"/>
      <c r="Q54" s="52"/>
      <c r="R54" s="52"/>
      <c r="S54" s="52"/>
      <c r="T54" s="52"/>
      <c r="U54" s="53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</row>
    <row r="55" spans="1:43" ht="15.75" customHeight="1">
      <c r="A55" s="42"/>
      <c r="B55" s="42"/>
      <c r="C55" s="93" t="s">
        <v>178</v>
      </c>
      <c r="D55" s="52"/>
      <c r="E55" s="52"/>
      <c r="F55" s="52"/>
      <c r="G55" s="52"/>
      <c r="H55" s="52"/>
      <c r="I55" s="52"/>
      <c r="J55" s="52"/>
      <c r="K55" s="53"/>
      <c r="L55" s="93" t="s">
        <v>179</v>
      </c>
      <c r="M55" s="52"/>
      <c r="N55" s="52"/>
      <c r="O55" s="52"/>
      <c r="P55" s="52"/>
      <c r="Q55" s="52"/>
      <c r="R55" s="52"/>
      <c r="S55" s="52"/>
      <c r="T55" s="52"/>
      <c r="U55" s="53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</row>
    <row r="56" spans="1:43" ht="48" customHeight="1">
      <c r="A56" s="42"/>
      <c r="B56" s="42"/>
      <c r="C56" s="93" t="s">
        <v>180</v>
      </c>
      <c r="D56" s="52"/>
      <c r="E56" s="52"/>
      <c r="F56" s="52"/>
      <c r="G56" s="52"/>
      <c r="H56" s="52"/>
      <c r="I56" s="52"/>
      <c r="J56" s="52"/>
      <c r="K56" s="53"/>
      <c r="L56" s="93" t="s">
        <v>181</v>
      </c>
      <c r="M56" s="52"/>
      <c r="N56" s="52"/>
      <c r="O56" s="52"/>
      <c r="P56" s="52"/>
      <c r="Q56" s="52"/>
      <c r="R56" s="52"/>
      <c r="S56" s="52"/>
      <c r="T56" s="52"/>
      <c r="U56" s="53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</row>
    <row r="57" spans="1:43" ht="29.25" customHeight="1">
      <c r="A57" s="42"/>
      <c r="B57" s="42"/>
      <c r="C57" s="93" t="s">
        <v>182</v>
      </c>
      <c r="D57" s="52"/>
      <c r="E57" s="52"/>
      <c r="F57" s="52"/>
      <c r="G57" s="52"/>
      <c r="H57" s="52"/>
      <c r="I57" s="52"/>
      <c r="J57" s="52"/>
      <c r="K57" s="53"/>
      <c r="L57" s="93" t="s">
        <v>183</v>
      </c>
      <c r="M57" s="52"/>
      <c r="N57" s="52"/>
      <c r="O57" s="52"/>
      <c r="P57" s="52"/>
      <c r="Q57" s="52"/>
      <c r="R57" s="52"/>
      <c r="S57" s="52"/>
      <c r="T57" s="52"/>
      <c r="U57" s="53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</row>
    <row r="58" spans="1:43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</row>
    <row r="59" spans="1:43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</row>
    <row r="60" spans="1:43" ht="15.75" customHeight="1">
      <c r="A60" s="42"/>
      <c r="B60" s="42"/>
      <c r="C60" s="34" t="s">
        <v>184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</row>
    <row r="61" spans="1:43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</row>
    <row r="62" spans="1:43" ht="15.75" customHeight="1">
      <c r="A62" s="42"/>
      <c r="B62" s="42"/>
      <c r="C62" s="51" t="s">
        <v>185</v>
      </c>
      <c r="D62" s="52"/>
      <c r="E62" s="52"/>
      <c r="F62" s="52"/>
      <c r="G62" s="52"/>
      <c r="H62" s="52"/>
      <c r="I62" s="52"/>
      <c r="J62" s="53"/>
      <c r="K62" s="51" t="s">
        <v>157</v>
      </c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3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</row>
    <row r="63" spans="1:43" ht="15.75" customHeight="1">
      <c r="A63" s="42"/>
      <c r="B63" s="42"/>
      <c r="C63" s="54" t="s">
        <v>186</v>
      </c>
      <c r="D63" s="52"/>
      <c r="E63" s="52"/>
      <c r="F63" s="52"/>
      <c r="G63" s="52"/>
      <c r="H63" s="52"/>
      <c r="I63" s="52"/>
      <c r="J63" s="53"/>
      <c r="K63" s="54" t="s">
        <v>187</v>
      </c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3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</row>
    <row r="64" spans="1:43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</row>
    <row r="65" spans="1:43" ht="15.75" customHeight="1">
      <c r="A65" s="42"/>
      <c r="B65" s="42"/>
      <c r="C65" s="34" t="s">
        <v>188</v>
      </c>
      <c r="D65" s="38"/>
      <c r="E65" s="39"/>
      <c r="F65" s="39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</row>
    <row r="66" spans="1:43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</row>
    <row r="67" spans="1:43" ht="15.75" customHeight="1">
      <c r="A67" s="42"/>
      <c r="B67" s="42"/>
      <c r="C67" s="42" t="s">
        <v>189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</row>
    <row r="68" spans="1:43" ht="15.75" customHeight="1">
      <c r="A68" s="42"/>
      <c r="B68" s="42"/>
      <c r="C68" s="42" t="s">
        <v>190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</row>
    <row r="69" spans="1:43" ht="15.75" customHeight="1">
      <c r="A69" s="42"/>
      <c r="B69" s="42"/>
      <c r="C69" s="42" t="s">
        <v>191</v>
      </c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</row>
    <row r="70" spans="1:43" ht="15.75" customHeight="1">
      <c r="A70" s="42"/>
      <c r="B70" s="42"/>
      <c r="C70" s="42" t="s">
        <v>192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</row>
    <row r="71" spans="1:43" ht="15.75" customHeight="1">
      <c r="A71" s="42"/>
      <c r="B71" s="42"/>
      <c r="C71" s="42" t="s">
        <v>193</v>
      </c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</row>
    <row r="72" spans="1:43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</row>
    <row r="73" spans="1:43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</row>
    <row r="74" spans="1:43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</row>
    <row r="75" spans="1:43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</row>
    <row r="76" spans="1:43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</row>
    <row r="77" spans="1:43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</row>
    <row r="78" spans="1:43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</row>
    <row r="79" spans="1:43" ht="15.75" customHeight="1"/>
    <row r="80" spans="1:43" ht="15.75" customHeight="1"/>
    <row r="81" spans="3:3" ht="15.75" customHeight="1"/>
    <row r="82" spans="3:3" ht="15.75" customHeight="1"/>
    <row r="83" spans="3:3" ht="15.75" customHeight="1"/>
    <row r="84" spans="3:3" ht="15.75" customHeight="1">
      <c r="C84" s="40"/>
    </row>
    <row r="85" spans="3:3" ht="15.75" customHeight="1">
      <c r="C85" s="40"/>
    </row>
    <row r="86" spans="3:3" ht="15.75" customHeight="1">
      <c r="C86" s="40"/>
    </row>
    <row r="87" spans="3:3" ht="15.75" customHeight="1"/>
    <row r="88" spans="3:3" ht="15.75" customHeight="1"/>
    <row r="89" spans="3:3" ht="15.75" customHeight="1"/>
    <row r="90" spans="3:3" ht="15.75" customHeight="1"/>
    <row r="91" spans="3:3" ht="15.75" customHeight="1"/>
    <row r="92" spans="3:3" ht="15.75" customHeight="1"/>
    <row r="93" spans="3:3" ht="15.75" customHeight="1"/>
    <row r="94" spans="3:3" ht="15.75" customHeight="1"/>
    <row r="95" spans="3:3" ht="15.75" customHeight="1"/>
    <row r="96" spans="3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36">
    <mergeCell ref="AK1:AT3"/>
    <mergeCell ref="O3:U3"/>
    <mergeCell ref="D1:J3"/>
    <mergeCell ref="C42:N42"/>
    <mergeCell ref="O42:AF42"/>
    <mergeCell ref="A1:C3"/>
    <mergeCell ref="K1:N3"/>
    <mergeCell ref="O1:U2"/>
    <mergeCell ref="V1:Y3"/>
    <mergeCell ref="Z1:AJ3"/>
    <mergeCell ref="C43:N43"/>
    <mergeCell ref="O43:AF43"/>
    <mergeCell ref="C44:N44"/>
    <mergeCell ref="O44:AF44"/>
    <mergeCell ref="C45:N45"/>
    <mergeCell ref="O45:AF45"/>
    <mergeCell ref="C46:N46"/>
    <mergeCell ref="O46:AF46"/>
    <mergeCell ref="C47:N47"/>
    <mergeCell ref="O47:AF47"/>
    <mergeCell ref="O48:AF48"/>
    <mergeCell ref="C63:J63"/>
    <mergeCell ref="K63:AF63"/>
    <mergeCell ref="C48:N48"/>
    <mergeCell ref="C49:N49"/>
    <mergeCell ref="C54:K54"/>
    <mergeCell ref="L54:U54"/>
    <mergeCell ref="C55:K55"/>
    <mergeCell ref="L55:U55"/>
    <mergeCell ref="L56:U56"/>
    <mergeCell ref="L57:U57"/>
    <mergeCell ref="O49:AF49"/>
    <mergeCell ref="C56:K56"/>
    <mergeCell ref="C57:K57"/>
    <mergeCell ref="C62:J62"/>
    <mergeCell ref="K62:AF6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U1000"/>
  <sheetViews>
    <sheetView showGridLines="0" topLeftCell="J1" workbookViewId="0">
      <selection sqref="A1:C3"/>
    </sheetView>
  </sheetViews>
  <sheetFormatPr defaultColWidth="14.3984375" defaultRowHeight="14.25"/>
  <cols>
    <col min="1" max="6" width="2.86328125" customWidth="1"/>
    <col min="7" max="7" width="4.265625" customWidth="1"/>
    <col min="8" max="8" width="2.86328125" customWidth="1"/>
    <col min="9" max="9" width="4.265625" customWidth="1"/>
    <col min="10" max="10" width="4.86328125" customWidth="1"/>
    <col min="11" max="36" width="2.86328125" customWidth="1"/>
    <col min="37" max="37" width="8.1328125" customWidth="1"/>
    <col min="38" max="46" width="2.86328125" customWidth="1"/>
  </cols>
  <sheetData>
    <row r="1" spans="1:47">
      <c r="A1" s="75" t="s">
        <v>0</v>
      </c>
      <c r="B1" s="63"/>
      <c r="C1" s="64"/>
      <c r="D1" s="76" t="str">
        <f>'01.Cover'!Y12</f>
        <v>TS_CUSTOMER_RANK</v>
      </c>
      <c r="E1" s="63"/>
      <c r="F1" s="63"/>
      <c r="G1" s="63"/>
      <c r="H1" s="63"/>
      <c r="I1" s="63"/>
      <c r="J1" s="64"/>
      <c r="K1" s="75" t="s">
        <v>1</v>
      </c>
      <c r="L1" s="63"/>
      <c r="M1" s="63"/>
      <c r="N1" s="63"/>
      <c r="O1" s="91" t="str">
        <f ca="1">MID(CELL("filename",A1),FIND("]",CELL("filename",A1))+1,255)</f>
        <v>TS.Screen Layout</v>
      </c>
      <c r="P1" s="63"/>
      <c r="Q1" s="63"/>
      <c r="R1" s="63"/>
      <c r="S1" s="63"/>
      <c r="T1" s="63"/>
      <c r="U1" s="64"/>
      <c r="V1" s="78" t="s">
        <v>2</v>
      </c>
      <c r="W1" s="63"/>
      <c r="X1" s="63"/>
      <c r="Y1" s="63"/>
      <c r="Z1" s="62" t="str">
        <f>'01.Cover'!B9</f>
        <v>Technical Specification</v>
      </c>
      <c r="AA1" s="63"/>
      <c r="AB1" s="63"/>
      <c r="AC1" s="63"/>
      <c r="AD1" s="63"/>
      <c r="AE1" s="63"/>
      <c r="AF1" s="63"/>
      <c r="AG1" s="63"/>
      <c r="AH1" s="63"/>
      <c r="AI1" s="63"/>
      <c r="AJ1" s="64"/>
      <c r="AK1" s="62"/>
      <c r="AL1" s="63"/>
      <c r="AM1" s="63"/>
      <c r="AN1" s="63"/>
      <c r="AO1" s="63"/>
      <c r="AP1" s="63"/>
      <c r="AQ1" s="63"/>
      <c r="AR1" s="63"/>
      <c r="AS1" s="63"/>
      <c r="AT1" s="64"/>
    </row>
    <row r="2" spans="1:47">
      <c r="A2" s="65"/>
      <c r="B2" s="66"/>
      <c r="C2" s="67"/>
      <c r="D2" s="65"/>
      <c r="E2" s="66"/>
      <c r="F2" s="66"/>
      <c r="G2" s="66"/>
      <c r="H2" s="66"/>
      <c r="I2" s="66"/>
      <c r="J2" s="67"/>
      <c r="K2" s="65"/>
      <c r="L2" s="66"/>
      <c r="M2" s="66"/>
      <c r="N2" s="77"/>
      <c r="O2" s="68"/>
      <c r="P2" s="69"/>
      <c r="Q2" s="69"/>
      <c r="R2" s="69"/>
      <c r="S2" s="69"/>
      <c r="T2" s="69"/>
      <c r="U2" s="70"/>
      <c r="V2" s="77"/>
      <c r="W2" s="66"/>
      <c r="X2" s="66"/>
      <c r="Y2" s="77"/>
      <c r="Z2" s="65"/>
      <c r="AA2" s="66"/>
      <c r="AB2" s="66"/>
      <c r="AC2" s="66"/>
      <c r="AD2" s="66"/>
      <c r="AE2" s="66"/>
      <c r="AF2" s="66"/>
      <c r="AG2" s="66"/>
      <c r="AH2" s="66"/>
      <c r="AI2" s="66"/>
      <c r="AJ2" s="67"/>
      <c r="AK2" s="65"/>
      <c r="AL2" s="66"/>
      <c r="AM2" s="66"/>
      <c r="AN2" s="66"/>
      <c r="AO2" s="66"/>
      <c r="AP2" s="66"/>
      <c r="AQ2" s="66"/>
      <c r="AR2" s="66"/>
      <c r="AS2" s="66"/>
      <c r="AT2" s="67"/>
    </row>
    <row r="3" spans="1:47">
      <c r="A3" s="68"/>
      <c r="B3" s="69"/>
      <c r="C3" s="70"/>
      <c r="D3" s="68"/>
      <c r="E3" s="69"/>
      <c r="F3" s="69"/>
      <c r="G3" s="69"/>
      <c r="H3" s="69"/>
      <c r="I3" s="69"/>
      <c r="J3" s="70"/>
      <c r="K3" s="68"/>
      <c r="L3" s="69"/>
      <c r="M3" s="69"/>
      <c r="N3" s="69"/>
      <c r="O3" s="96" t="s">
        <v>121</v>
      </c>
      <c r="P3" s="52"/>
      <c r="Q3" s="52"/>
      <c r="R3" s="52"/>
      <c r="S3" s="52"/>
      <c r="T3" s="52"/>
      <c r="U3" s="53"/>
      <c r="V3" s="69"/>
      <c r="W3" s="69"/>
      <c r="X3" s="69"/>
      <c r="Y3" s="69"/>
      <c r="Z3" s="68"/>
      <c r="AA3" s="69"/>
      <c r="AB3" s="69"/>
      <c r="AC3" s="69"/>
      <c r="AD3" s="69"/>
      <c r="AE3" s="69"/>
      <c r="AF3" s="69"/>
      <c r="AG3" s="69"/>
      <c r="AH3" s="69"/>
      <c r="AI3" s="69"/>
      <c r="AJ3" s="70"/>
      <c r="AK3" s="68"/>
      <c r="AL3" s="69"/>
      <c r="AM3" s="69"/>
      <c r="AN3" s="69"/>
      <c r="AO3" s="69"/>
      <c r="AP3" s="69"/>
      <c r="AQ3" s="69"/>
      <c r="AR3" s="69"/>
      <c r="AS3" s="69"/>
      <c r="AT3" s="70"/>
    </row>
    <row r="4" spans="1:47" ht="16.5">
      <c r="A4" s="22"/>
      <c r="B4" s="2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41"/>
    </row>
    <row r="5" spans="1:47" ht="16.5">
      <c r="A5" s="41" t="s">
        <v>40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41"/>
    </row>
    <row r="6" spans="1:47" ht="16.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41"/>
    </row>
    <row r="7" spans="1:47" ht="16.5">
      <c r="A7" s="7"/>
      <c r="B7" s="7"/>
      <c r="C7" s="7"/>
      <c r="D7" s="7" t="s">
        <v>194</v>
      </c>
      <c r="E7" s="41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41"/>
    </row>
    <row r="8" spans="1:47" ht="16.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</row>
    <row r="9" spans="1:47" ht="16.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</row>
    <row r="10" spans="1:47" ht="16.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</row>
    <row r="11" spans="1:47" ht="16.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</row>
    <row r="12" spans="1:47" ht="16.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</row>
    <row r="13" spans="1:47" ht="16.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</row>
    <row r="14" spans="1:47" ht="16.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</row>
    <row r="15" spans="1:47" ht="16.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</row>
    <row r="16" spans="1:47" ht="16.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</row>
    <row r="17" spans="1:47" ht="16.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</row>
    <row r="18" spans="1:47" ht="16.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</row>
    <row r="19" spans="1:47" ht="16.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</row>
    <row r="20" spans="1:47" ht="16.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</row>
    <row r="21" spans="1:47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</row>
    <row r="22" spans="1:47" ht="15.75" customHeight="1">
      <c r="A22" s="41"/>
      <c r="B22" s="41"/>
      <c r="C22" s="41"/>
      <c r="D22" s="7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</row>
    <row r="23" spans="1:47" ht="15.75" customHeight="1">
      <c r="A23" s="41"/>
      <c r="B23" s="41"/>
      <c r="C23" s="41"/>
      <c r="D23" s="7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</row>
    <row r="24" spans="1:47" ht="15.75" customHeight="1">
      <c r="A24" s="41"/>
      <c r="B24" s="41"/>
      <c r="C24" s="41"/>
      <c r="D24" s="7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</row>
    <row r="25" spans="1:47" ht="15.75" customHeight="1">
      <c r="A25" s="41"/>
      <c r="B25" s="41"/>
      <c r="C25" s="41"/>
      <c r="D25" s="7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</row>
    <row r="26" spans="1:47" ht="15.75" customHeight="1">
      <c r="A26" s="41"/>
      <c r="B26" s="41"/>
      <c r="C26" s="41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1:47" ht="15.75" customHeight="1">
      <c r="A27" s="41"/>
      <c r="B27" s="41"/>
      <c r="C27" s="41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 spans="1:47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</row>
    <row r="29" spans="1:47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</row>
    <row r="30" spans="1:47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</row>
    <row r="31" spans="1:47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</row>
    <row r="32" spans="1:47" ht="15.75" customHeight="1">
      <c r="A32" s="41"/>
      <c r="B32" s="41"/>
      <c r="C32" s="41"/>
      <c r="D32" s="41" t="s">
        <v>195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</row>
    <row r="33" spans="1:47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</row>
    <row r="34" spans="1:47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</row>
    <row r="35" spans="1:47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</row>
    <row r="36" spans="1:47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</row>
    <row r="37" spans="1:4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</row>
    <row r="38" spans="1:47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</row>
    <row r="39" spans="1:47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</row>
    <row r="40" spans="1:47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</row>
    <row r="41" spans="1:47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</row>
    <row r="42" spans="1:47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</row>
    <row r="43" spans="1:47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</row>
    <row r="44" spans="1:47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</row>
    <row r="45" spans="1:47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</row>
    <row r="46" spans="1:47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</row>
    <row r="47" spans="1: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</row>
    <row r="48" spans="1:47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</row>
    <row r="49" spans="1:47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</row>
    <row r="50" spans="1:47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</row>
    <row r="51" spans="1:47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</row>
    <row r="52" spans="1:47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</row>
    <row r="53" spans="1:47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</row>
    <row r="54" spans="1:47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</row>
    <row r="55" spans="1:47" ht="15.75" customHeight="1">
      <c r="A55" s="41"/>
      <c r="B55" s="41"/>
      <c r="C55" s="41"/>
      <c r="D55" s="41" t="s">
        <v>196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</row>
    <row r="56" spans="1:47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</row>
    <row r="57" spans="1:4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</row>
    <row r="58" spans="1:47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</row>
    <row r="59" spans="1:47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</row>
    <row r="60" spans="1:47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</row>
    <row r="61" spans="1:47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</row>
    <row r="62" spans="1:47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</row>
    <row r="63" spans="1:47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</row>
    <row r="64" spans="1:47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</row>
    <row r="65" spans="1:47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</row>
    <row r="66" spans="1:47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</row>
    <row r="67" spans="1:4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</row>
    <row r="68" spans="1:47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</row>
    <row r="69" spans="1:47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</row>
    <row r="70" spans="1:47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</row>
    <row r="71" spans="1:47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</row>
    <row r="72" spans="1:47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</row>
    <row r="73" spans="1:47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</row>
    <row r="74" spans="1:47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</row>
    <row r="75" spans="1:47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</row>
    <row r="76" spans="1:47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</row>
    <row r="77" spans="1:4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</row>
    <row r="78" spans="1:47" ht="15.75" customHeight="1">
      <c r="A78" s="41"/>
      <c r="B78" s="41"/>
      <c r="C78" s="41"/>
      <c r="D78" s="41" t="s">
        <v>197</v>
      </c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</row>
    <row r="79" spans="1:47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</row>
    <row r="80" spans="1:47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</row>
    <row r="81" spans="1:47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</row>
    <row r="82" spans="1:47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</row>
    <row r="83" spans="1:47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</row>
    <row r="84" spans="1:47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</row>
    <row r="85" spans="1:47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</row>
    <row r="86" spans="1:47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</row>
    <row r="87" spans="1:4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</row>
    <row r="88" spans="1:47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</row>
    <row r="89" spans="1:47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</row>
    <row r="90" spans="1:47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</row>
    <row r="91" spans="1:47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</row>
    <row r="92" spans="1:47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</row>
    <row r="93" spans="1:47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</row>
    <row r="94" spans="1:47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</row>
    <row r="95" spans="1:47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</row>
    <row r="96" spans="1:47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</row>
    <row r="97" spans="1:4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</row>
    <row r="98" spans="1:47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</row>
    <row r="99" spans="1:47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</row>
    <row r="100" spans="1:47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</row>
    <row r="101" spans="1:47" ht="15.75" customHeight="1">
      <c r="A101" s="41"/>
      <c r="B101" s="41"/>
      <c r="C101" s="41"/>
      <c r="D101" s="41" t="s">
        <v>41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</row>
    <row r="102" spans="1:47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</row>
    <row r="103" spans="1:47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</row>
    <row r="104" spans="1:47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</row>
    <row r="105" spans="1:47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</row>
    <row r="106" spans="1:47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</row>
    <row r="107" spans="1:4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</row>
    <row r="108" spans="1:47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</row>
    <row r="109" spans="1:47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</row>
    <row r="110" spans="1:47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</row>
    <row r="111" spans="1:47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</row>
    <row r="112" spans="1:47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</row>
    <row r="113" spans="1:47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</row>
    <row r="114" spans="1:47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</row>
    <row r="115" spans="1:47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</row>
    <row r="116" spans="1:47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</row>
    <row r="117" spans="1:4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</row>
    <row r="118" spans="1:47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</row>
    <row r="119" spans="1:47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</row>
    <row r="120" spans="1:47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</row>
    <row r="121" spans="1:47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</row>
    <row r="122" spans="1:47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</row>
    <row r="123" spans="1:47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</row>
    <row r="124" spans="1:47" ht="15.75" customHeight="1">
      <c r="A124" s="41"/>
      <c r="B124" s="41"/>
      <c r="C124" s="41" t="s">
        <v>42</v>
      </c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</row>
    <row r="125" spans="1:47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</row>
    <row r="126" spans="1:47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</row>
    <row r="127" spans="1:4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</row>
    <row r="128" spans="1:47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</row>
    <row r="129" spans="1:47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</row>
    <row r="130" spans="1:47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</row>
    <row r="131" spans="1:47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</row>
    <row r="132" spans="1:47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</row>
    <row r="133" spans="1:47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</row>
    <row r="134" spans="1:47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</row>
    <row r="135" spans="1:47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</row>
    <row r="136" spans="1:47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</row>
    <row r="137" spans="1:4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</row>
    <row r="138" spans="1:47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</row>
    <row r="139" spans="1:47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</row>
    <row r="140" spans="1:47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</row>
    <row r="141" spans="1:47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</row>
    <row r="142" spans="1:47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</row>
    <row r="143" spans="1:47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</row>
    <row r="144" spans="1:47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</row>
    <row r="145" spans="1:47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</row>
    <row r="146" spans="1:47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</row>
    <row r="147" spans="1: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</row>
    <row r="148" spans="1:47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</row>
    <row r="149" spans="1:47" ht="15.75" customHeight="1">
      <c r="A149" s="41"/>
      <c r="B149" s="41"/>
      <c r="C149" s="41" t="s">
        <v>43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</row>
    <row r="150" spans="1:47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</row>
    <row r="151" spans="1:47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</row>
    <row r="152" spans="1:47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</row>
    <row r="153" spans="1:47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</row>
    <row r="154" spans="1:47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</row>
    <row r="155" spans="1:47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</row>
    <row r="156" spans="1:47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</row>
    <row r="157" spans="1:4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</row>
    <row r="158" spans="1:47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</row>
    <row r="159" spans="1:47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</row>
    <row r="160" spans="1:47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</row>
    <row r="161" spans="1:47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</row>
    <row r="162" spans="1:47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</row>
    <row r="163" spans="1:47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</row>
    <row r="164" spans="1:47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</row>
    <row r="165" spans="1:47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</row>
    <row r="166" spans="1:47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</row>
    <row r="167" spans="1:4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</row>
    <row r="168" spans="1:47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</row>
    <row r="169" spans="1:47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</row>
    <row r="170" spans="1:47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</row>
    <row r="171" spans="1:47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</row>
    <row r="172" spans="1:47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</row>
    <row r="173" spans="1:47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</row>
    <row r="174" spans="1:47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</row>
    <row r="175" spans="1:47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</row>
    <row r="176" spans="1:47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</row>
    <row r="177" spans="1:4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</row>
    <row r="178" spans="1:47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</row>
    <row r="179" spans="1:47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</row>
    <row r="180" spans="1:47" ht="15.75" customHeight="1"/>
    <row r="181" spans="1:47" ht="15.75" customHeight="1"/>
    <row r="182" spans="1:47" ht="15.75" customHeight="1"/>
    <row r="183" spans="1:47" ht="15.75" customHeight="1"/>
    <row r="184" spans="1:47" ht="15.75" customHeight="1"/>
    <row r="185" spans="1:47" ht="15.75" customHeight="1"/>
    <row r="186" spans="1:47" ht="15.75" customHeight="1"/>
    <row r="187" spans="1:47" ht="15.75" customHeight="1"/>
    <row r="188" spans="1:47" ht="15.75" customHeight="1"/>
    <row r="189" spans="1:47" ht="15.75" customHeight="1"/>
    <row r="190" spans="1:47" ht="15.75" customHeight="1"/>
    <row r="191" spans="1:47" ht="15.75" customHeight="1"/>
    <row r="192" spans="1:47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Z1:AJ3"/>
    <mergeCell ref="AK1:AT3"/>
    <mergeCell ref="O3:U3"/>
    <mergeCell ref="A1:C3"/>
    <mergeCell ref="D1:J3"/>
    <mergeCell ref="K1:N3"/>
    <mergeCell ref="O1:U2"/>
    <mergeCell ref="V1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Y356"/>
  <sheetViews>
    <sheetView showGridLines="0" tabSelected="1" workbookViewId="0">
      <selection activeCell="AE21" sqref="AE21"/>
    </sheetView>
  </sheetViews>
  <sheetFormatPr defaultColWidth="14.3984375" defaultRowHeight="14.25"/>
  <cols>
    <col min="1" max="20" width="2.86328125" customWidth="1"/>
    <col min="21" max="21" width="17.73046875" customWidth="1"/>
    <col min="22" max="46" width="2.86328125" customWidth="1"/>
  </cols>
  <sheetData>
    <row r="1" spans="1:51">
      <c r="A1" s="75" t="s">
        <v>0</v>
      </c>
      <c r="B1" s="63"/>
      <c r="C1" s="64"/>
      <c r="D1" s="76" t="str">
        <f>'01.Cover'!Y12</f>
        <v>TS_CUSTOMER_RANK</v>
      </c>
      <c r="E1" s="63"/>
      <c r="F1" s="63"/>
      <c r="G1" s="63"/>
      <c r="H1" s="63"/>
      <c r="I1" s="63"/>
      <c r="J1" s="64"/>
      <c r="K1" s="75" t="s">
        <v>1</v>
      </c>
      <c r="L1" s="63"/>
      <c r="M1" s="63"/>
      <c r="N1" s="63"/>
      <c r="O1" s="91" t="str">
        <f ca="1">MID(CELL("filename",A1),FIND("]",CELL("filename",A1))+1,255)</f>
        <v>TS.Processing Logic</v>
      </c>
      <c r="P1" s="63"/>
      <c r="Q1" s="63"/>
      <c r="R1" s="63"/>
      <c r="S1" s="63"/>
      <c r="T1" s="63"/>
      <c r="U1" s="64"/>
      <c r="V1" s="78" t="s">
        <v>2</v>
      </c>
      <c r="W1" s="63"/>
      <c r="X1" s="63"/>
      <c r="Y1" s="63"/>
      <c r="Z1" s="62" t="str">
        <f>'01.Cover'!B9</f>
        <v>Technical Specification</v>
      </c>
      <c r="AA1" s="63"/>
      <c r="AB1" s="63"/>
      <c r="AC1" s="63"/>
      <c r="AD1" s="63"/>
      <c r="AE1" s="63"/>
      <c r="AF1" s="63"/>
      <c r="AG1" s="63"/>
      <c r="AH1" s="63"/>
      <c r="AI1" s="63"/>
      <c r="AJ1" s="64"/>
      <c r="AK1" s="62"/>
      <c r="AL1" s="63"/>
      <c r="AM1" s="63"/>
      <c r="AN1" s="63"/>
      <c r="AO1" s="63"/>
      <c r="AP1" s="63"/>
      <c r="AQ1" s="63"/>
      <c r="AR1" s="63"/>
      <c r="AS1" s="63"/>
      <c r="AT1" s="64"/>
    </row>
    <row r="2" spans="1:51">
      <c r="A2" s="65"/>
      <c r="B2" s="66"/>
      <c r="C2" s="67"/>
      <c r="D2" s="65"/>
      <c r="E2" s="66"/>
      <c r="F2" s="66"/>
      <c r="G2" s="66"/>
      <c r="H2" s="66"/>
      <c r="I2" s="66"/>
      <c r="J2" s="67"/>
      <c r="K2" s="65"/>
      <c r="L2" s="66"/>
      <c r="M2" s="66"/>
      <c r="N2" s="77"/>
      <c r="O2" s="68"/>
      <c r="P2" s="69"/>
      <c r="Q2" s="69"/>
      <c r="R2" s="69"/>
      <c r="S2" s="69"/>
      <c r="T2" s="69"/>
      <c r="U2" s="70"/>
      <c r="V2" s="77"/>
      <c r="W2" s="66"/>
      <c r="X2" s="66"/>
      <c r="Y2" s="77"/>
      <c r="Z2" s="65"/>
      <c r="AA2" s="66"/>
      <c r="AB2" s="66"/>
      <c r="AC2" s="66"/>
      <c r="AD2" s="66"/>
      <c r="AE2" s="66"/>
      <c r="AF2" s="66"/>
      <c r="AG2" s="66"/>
      <c r="AH2" s="66"/>
      <c r="AI2" s="66"/>
      <c r="AJ2" s="67"/>
      <c r="AK2" s="65"/>
      <c r="AL2" s="66"/>
      <c r="AM2" s="66"/>
      <c r="AN2" s="66"/>
      <c r="AO2" s="66"/>
      <c r="AP2" s="66"/>
      <c r="AQ2" s="66"/>
      <c r="AR2" s="66"/>
      <c r="AS2" s="66"/>
      <c r="AT2" s="67"/>
    </row>
    <row r="3" spans="1:51">
      <c r="A3" s="68"/>
      <c r="B3" s="69"/>
      <c r="C3" s="70"/>
      <c r="D3" s="68"/>
      <c r="E3" s="69"/>
      <c r="F3" s="69"/>
      <c r="G3" s="69"/>
      <c r="H3" s="69"/>
      <c r="I3" s="69"/>
      <c r="J3" s="70"/>
      <c r="K3" s="68"/>
      <c r="L3" s="69"/>
      <c r="M3" s="69"/>
      <c r="N3" s="69"/>
      <c r="O3" s="96" t="s">
        <v>121</v>
      </c>
      <c r="P3" s="52"/>
      <c r="Q3" s="52"/>
      <c r="R3" s="52"/>
      <c r="S3" s="52"/>
      <c r="T3" s="52"/>
      <c r="U3" s="53"/>
      <c r="V3" s="69"/>
      <c r="W3" s="69"/>
      <c r="X3" s="69"/>
      <c r="Y3" s="69"/>
      <c r="Z3" s="68"/>
      <c r="AA3" s="69"/>
      <c r="AB3" s="69"/>
      <c r="AC3" s="69"/>
      <c r="AD3" s="69"/>
      <c r="AE3" s="69"/>
      <c r="AF3" s="69"/>
      <c r="AG3" s="69"/>
      <c r="AH3" s="69"/>
      <c r="AI3" s="69"/>
      <c r="AJ3" s="70"/>
      <c r="AK3" s="68"/>
      <c r="AL3" s="69"/>
      <c r="AM3" s="69"/>
      <c r="AN3" s="69"/>
      <c r="AO3" s="69"/>
      <c r="AP3" s="69"/>
      <c r="AQ3" s="69"/>
      <c r="AR3" s="69"/>
      <c r="AS3" s="69"/>
      <c r="AT3" s="70"/>
    </row>
    <row r="4" spans="1:51" ht="16.5">
      <c r="A4" s="22"/>
      <c r="B4" s="22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42"/>
      <c r="AV4" s="42"/>
      <c r="AW4" s="42"/>
      <c r="AX4" s="42"/>
      <c r="AY4" s="42"/>
    </row>
    <row r="5" spans="1:51" ht="16.5">
      <c r="A5" s="41" t="s">
        <v>44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42"/>
      <c r="AV5" s="42"/>
      <c r="AW5" s="42"/>
      <c r="AX5" s="42"/>
      <c r="AY5" s="42"/>
    </row>
    <row r="6" spans="1:51" ht="16.5">
      <c r="A6" s="42"/>
      <c r="B6" s="42"/>
      <c r="C6" s="34" t="s">
        <v>198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</row>
    <row r="7" spans="1:51" ht="16.5">
      <c r="A7" s="42"/>
      <c r="B7" s="42"/>
      <c r="C7" s="34" t="s">
        <v>87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</row>
    <row r="8" spans="1:51" ht="16.5">
      <c r="A8" s="42"/>
      <c r="B8" s="42"/>
      <c r="C8" s="35" t="s">
        <v>199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</row>
    <row r="9" spans="1:51" ht="16.5">
      <c r="A9" s="42"/>
      <c r="B9" s="42"/>
      <c r="C9" s="42" t="s">
        <v>89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</row>
    <row r="10" spans="1:51" ht="16.5">
      <c r="A10" s="42"/>
      <c r="B10" s="42"/>
      <c r="C10" s="34" t="s">
        <v>200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</row>
    <row r="11" spans="1:51" ht="16.5">
      <c r="A11" s="42"/>
      <c r="B11" s="42"/>
      <c r="C11" s="43" t="s">
        <v>201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</row>
    <row r="12" spans="1:51" ht="16.5">
      <c r="A12" s="42"/>
      <c r="B12" s="42"/>
      <c r="C12" s="43" t="s">
        <v>202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</row>
    <row r="13" spans="1:51" ht="16.5">
      <c r="A13" s="42"/>
      <c r="B13" s="42"/>
      <c r="C13" s="44" t="s">
        <v>203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</row>
    <row r="14" spans="1:51" ht="16.5">
      <c r="A14" s="42"/>
      <c r="B14" s="42"/>
      <c r="C14" s="43" t="s">
        <v>204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</row>
    <row r="15" spans="1:51" ht="16.5">
      <c r="A15" s="42"/>
      <c r="B15" s="42"/>
      <c r="C15" s="44" t="s">
        <v>205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</row>
    <row r="16" spans="1:51" ht="16.5">
      <c r="A16" s="42"/>
      <c r="B16" s="42"/>
      <c r="C16" s="44" t="s">
        <v>206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</row>
    <row r="17" spans="1:51" ht="16.5">
      <c r="A17" s="42"/>
      <c r="B17" s="42"/>
      <c r="C17" s="44" t="s">
        <v>207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</row>
    <row r="18" spans="1:51" ht="16.5">
      <c r="A18" s="42"/>
      <c r="B18" s="42"/>
      <c r="C18" s="43" t="s">
        <v>208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</row>
    <row r="19" spans="1:51" ht="16.5">
      <c r="A19" s="42"/>
      <c r="B19" s="42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2"/>
      <c r="AW19" s="42"/>
      <c r="AX19" s="42"/>
      <c r="AY19" s="42"/>
    </row>
    <row r="20" spans="1:51" ht="16.5">
      <c r="A20" s="42"/>
      <c r="B20" s="42"/>
      <c r="C20" s="42" t="s">
        <v>209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</row>
    <row r="21" spans="1:51" ht="16.5">
      <c r="A21" s="42"/>
      <c r="B21" s="42"/>
      <c r="C21" s="42" t="s">
        <v>87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</row>
    <row r="22" spans="1:51" ht="16.5">
      <c r="A22" s="42"/>
      <c r="B22" s="42"/>
      <c r="C22" s="42" t="s">
        <v>210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</row>
    <row r="23" spans="1:51" ht="16.5">
      <c r="A23" s="42"/>
      <c r="B23" s="42"/>
      <c r="C23" s="42" t="s">
        <v>89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</row>
    <row r="24" spans="1:51" ht="16.5">
      <c r="A24" s="42"/>
      <c r="B24" s="42"/>
      <c r="C24" s="42" t="s">
        <v>211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</row>
    <row r="25" spans="1:51" ht="16.5">
      <c r="A25" s="42"/>
      <c r="B25" s="42"/>
      <c r="C25" s="42" t="s">
        <v>212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</row>
    <row r="26" spans="1:51" ht="16.5">
      <c r="A26" s="42"/>
      <c r="B26" s="42"/>
      <c r="C26" s="42" t="s">
        <v>213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</row>
    <row r="27" spans="1:51" ht="16.5">
      <c r="A27" s="42"/>
      <c r="B27" s="42"/>
      <c r="C27" s="42" t="s">
        <v>214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</row>
    <row r="28" spans="1:51" ht="16.5">
      <c r="A28" s="42"/>
      <c r="B28" s="42"/>
      <c r="C28" s="42" t="s">
        <v>215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</row>
    <row r="29" spans="1:51" ht="16.5">
      <c r="A29" s="42"/>
      <c r="B29" s="42"/>
      <c r="C29" s="42" t="s">
        <v>216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</row>
    <row r="30" spans="1:51" ht="16.5">
      <c r="A30" s="42"/>
      <c r="B30" s="42"/>
      <c r="C30" s="42" t="s">
        <v>217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</row>
    <row r="31" spans="1:51" ht="16.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</row>
    <row r="32" spans="1:51" ht="16.5">
      <c r="A32" s="42"/>
      <c r="B32" s="42"/>
      <c r="C32" s="42" t="s">
        <v>218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</row>
    <row r="33" spans="1:51" ht="16.5">
      <c r="A33" s="42"/>
      <c r="B33" s="42"/>
      <c r="C33" s="42" t="s">
        <v>87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</row>
    <row r="34" spans="1:51" ht="16.5">
      <c r="A34" s="42"/>
      <c r="B34" s="42"/>
      <c r="C34" s="42" t="s">
        <v>219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</row>
    <row r="35" spans="1:51" ht="16.5">
      <c r="A35" s="42"/>
      <c r="B35" s="42"/>
      <c r="C35" s="42" t="s">
        <v>89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</row>
    <row r="36" spans="1:51" ht="16.5">
      <c r="A36" s="42"/>
      <c r="B36" s="42"/>
      <c r="C36" s="42" t="s">
        <v>220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</row>
    <row r="37" spans="1:51" ht="16.5">
      <c r="A37" s="42"/>
      <c r="B37" s="42"/>
      <c r="C37" s="42" t="s">
        <v>221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</row>
    <row r="38" spans="1:51" ht="16.5">
      <c r="A38" s="42"/>
      <c r="B38" s="42"/>
      <c r="C38" s="42" t="s">
        <v>222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</row>
    <row r="39" spans="1:51" ht="16.5">
      <c r="A39" s="42"/>
      <c r="B39" s="42"/>
      <c r="C39" s="42" t="s">
        <v>223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</row>
    <row r="40" spans="1:51" ht="16.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</row>
    <row r="41" spans="1:51" ht="16.5">
      <c r="A41" s="42"/>
      <c r="B41" s="42"/>
      <c r="C41" s="42" t="s">
        <v>97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</row>
    <row r="42" spans="1:51" ht="16.5">
      <c r="A42" s="42"/>
      <c r="B42" s="42"/>
      <c r="C42" s="42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</row>
    <row r="43" spans="1:51" ht="16.5">
      <c r="A43" s="42"/>
      <c r="B43" s="42"/>
      <c r="C43" s="42" t="s">
        <v>225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</row>
    <row r="44" spans="1:51" ht="16.5">
      <c r="A44" s="42"/>
      <c r="B44" s="42"/>
      <c r="C44" s="42" t="s">
        <v>226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</row>
    <row r="45" spans="1:51" ht="16.5">
      <c r="A45" s="42"/>
      <c r="B45" s="42"/>
      <c r="C45" s="42" t="s">
        <v>227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</row>
    <row r="46" spans="1:51" ht="16.5">
      <c r="A46" s="42"/>
      <c r="B46" s="42"/>
      <c r="C46" s="42" t="s">
        <v>228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</row>
    <row r="47" spans="1:51" ht="16.5">
      <c r="A47" s="42"/>
      <c r="B47" s="42"/>
      <c r="C47" s="42" t="s">
        <v>229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</row>
    <row r="48" spans="1:51" ht="16.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</row>
    <row r="49" spans="1:51" ht="16.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</row>
    <row r="50" spans="1:51" ht="16.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</row>
    <row r="51" spans="1:51" ht="16.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</row>
    <row r="52" spans="1:51" ht="16.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</row>
    <row r="53" spans="1:51" ht="16.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</row>
    <row r="54" spans="1:51" ht="16.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</row>
    <row r="55" spans="1:51" ht="16.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</row>
    <row r="56" spans="1:51" ht="16.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</row>
    <row r="57" spans="1:51" ht="16.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</row>
    <row r="58" spans="1:51" ht="16.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</row>
    <row r="59" spans="1:51" ht="16.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</row>
    <row r="60" spans="1:51" ht="16.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</row>
    <row r="61" spans="1:51" ht="16.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</row>
    <row r="62" spans="1:51" ht="16.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</row>
    <row r="63" spans="1:51" ht="16.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</row>
    <row r="64" spans="1:51" ht="16.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</row>
    <row r="65" spans="1:51" ht="16.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</row>
    <row r="66" spans="1:51" ht="16.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</row>
    <row r="67" spans="1:51" ht="16.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</row>
    <row r="68" spans="1:51" ht="16.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</row>
    <row r="69" spans="1:51" ht="16.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</row>
    <row r="70" spans="1:51" ht="16.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</row>
    <row r="71" spans="1:51" ht="16.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</row>
    <row r="72" spans="1:51" ht="16.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</row>
    <row r="73" spans="1:51" ht="16.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</row>
    <row r="74" spans="1:51" ht="16.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</row>
    <row r="75" spans="1:51" ht="16.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</row>
    <row r="76" spans="1:51" ht="16.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</row>
    <row r="77" spans="1:51" ht="16.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</row>
    <row r="78" spans="1:51" ht="16.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</row>
    <row r="79" spans="1:51" ht="16.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</row>
    <row r="80" spans="1:51" ht="16.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</row>
    <row r="81" spans="1:51" ht="16.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</row>
    <row r="82" spans="1:51" ht="16.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</row>
    <row r="83" spans="1:51" ht="16.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</row>
    <row r="84" spans="1:51" ht="16.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</row>
    <row r="85" spans="1:51" ht="16.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</row>
    <row r="86" spans="1:51" ht="16.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</row>
    <row r="87" spans="1:51" ht="16.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</row>
    <row r="88" spans="1:51" ht="16.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</row>
    <row r="89" spans="1:51" ht="16.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</row>
    <row r="90" spans="1:51" ht="16.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</row>
    <row r="91" spans="1:51" ht="16.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</row>
    <row r="92" spans="1:51" ht="16.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</row>
    <row r="93" spans="1:51" ht="16.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</row>
    <row r="94" spans="1:51" ht="16.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</row>
    <row r="95" spans="1:51" ht="16.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</row>
    <row r="96" spans="1:51" ht="16.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</row>
    <row r="97" spans="1:51" ht="16.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</row>
    <row r="98" spans="1:51" ht="16.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</row>
    <row r="99" spans="1:51" ht="16.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</row>
    <row r="100" spans="1:51" ht="16.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</row>
    <row r="101" spans="1:51" ht="16.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</row>
    <row r="102" spans="1:51" ht="16.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</row>
    <row r="103" spans="1:51" ht="16.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</row>
    <row r="104" spans="1:51" ht="16.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</row>
    <row r="105" spans="1:51" ht="16.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</row>
    <row r="106" spans="1:51" ht="16.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</row>
    <row r="107" spans="1:51" ht="16.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</row>
    <row r="108" spans="1:51" ht="16.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</row>
    <row r="109" spans="1:51" ht="16.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</row>
    <row r="110" spans="1:51" ht="16.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</row>
    <row r="111" spans="1:51" ht="16.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</row>
    <row r="112" spans="1:51" ht="16.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</row>
    <row r="113" spans="1:51" ht="16.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</row>
    <row r="114" spans="1:51" ht="16.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</row>
    <row r="115" spans="1:51" ht="16.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</row>
    <row r="116" spans="1:51" ht="16.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</row>
    <row r="117" spans="1:51" ht="16.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</row>
    <row r="118" spans="1:51" ht="16.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</row>
    <row r="119" spans="1:51" ht="16.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</row>
    <row r="120" spans="1:51" ht="16.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</row>
    <row r="121" spans="1:51" ht="16.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</row>
    <row r="122" spans="1:51" ht="16.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</row>
    <row r="123" spans="1:51" ht="16.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</row>
    <row r="124" spans="1:51" ht="16.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</row>
    <row r="125" spans="1:51" ht="16.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</row>
    <row r="126" spans="1:51" ht="16.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</row>
    <row r="127" spans="1:51" ht="16.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</row>
    <row r="128" spans="1:51" ht="16.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</row>
    <row r="129" spans="1:51" ht="16.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</row>
    <row r="130" spans="1:51" ht="16.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</row>
    <row r="131" spans="1:51" ht="16.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</row>
    <row r="132" spans="1:51" ht="16.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</row>
    <row r="133" spans="1:51" ht="16.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</row>
    <row r="134" spans="1:51" ht="16.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</row>
    <row r="135" spans="1:51" ht="16.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</row>
    <row r="136" spans="1:51" ht="16.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</row>
    <row r="137" spans="1:51" ht="16.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</row>
    <row r="138" spans="1:51" ht="16.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</row>
    <row r="139" spans="1:51" ht="16.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</row>
    <row r="140" spans="1:51" ht="16.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</row>
    <row r="141" spans="1:51" ht="16.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</row>
    <row r="142" spans="1:51" ht="16.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</row>
    <row r="143" spans="1:51" ht="16.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</row>
    <row r="144" spans="1:51" ht="16.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</row>
    <row r="145" spans="1:51" ht="16.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</row>
    <row r="146" spans="1:51" ht="16.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</row>
    <row r="147" spans="1:51" ht="16.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</row>
    <row r="148" spans="1:51" ht="16.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</row>
    <row r="149" spans="1:51" ht="16.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</row>
    <row r="150" spans="1:51" ht="16.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</row>
    <row r="151" spans="1:51" ht="16.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</row>
    <row r="152" spans="1:51" ht="16.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</row>
    <row r="153" spans="1:51" ht="16.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</row>
    <row r="154" spans="1:51" ht="16.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</row>
    <row r="155" spans="1:51" ht="16.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</row>
    <row r="156" spans="1:51" ht="16.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</row>
    <row r="157" spans="1:51" ht="16.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</row>
    <row r="158" spans="1:51" ht="16.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</row>
    <row r="159" spans="1:51" ht="16.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</row>
    <row r="160" spans="1:51" ht="16.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</row>
    <row r="161" spans="1:51" ht="16.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</row>
    <row r="162" spans="1:51" ht="16.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</row>
    <row r="163" spans="1:51" ht="16.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</row>
    <row r="164" spans="1:51" ht="16.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</row>
    <row r="165" spans="1:51" ht="16.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</row>
    <row r="166" spans="1:51" ht="16.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</row>
    <row r="167" spans="1:51" ht="16.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</row>
    <row r="168" spans="1:51" ht="16.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</row>
    <row r="169" spans="1:51" ht="16.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</row>
    <row r="170" spans="1:51" ht="16.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</row>
    <row r="171" spans="1:51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</row>
    <row r="172" spans="1:51" ht="26.25" customHeight="1">
      <c r="A172" s="42"/>
      <c r="B172" s="42"/>
      <c r="C172" s="34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</row>
    <row r="173" spans="1:51" ht="15.75" customHeight="1">
      <c r="A173" s="42"/>
      <c r="B173" s="42"/>
      <c r="C173" s="34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</row>
    <row r="174" spans="1:51" ht="15.75" customHeight="1">
      <c r="A174" s="42"/>
      <c r="B174" s="42"/>
      <c r="C174" s="6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</row>
    <row r="175" spans="1:51" ht="15.75" customHeight="1">
      <c r="A175" s="42"/>
      <c r="B175" s="42"/>
      <c r="C175" s="34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</row>
    <row r="176" spans="1:51" ht="15.75" customHeight="1">
      <c r="A176" s="42"/>
      <c r="B176" s="42"/>
      <c r="C176" s="6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</row>
    <row r="177" spans="1:51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</row>
    <row r="178" spans="1:51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</row>
    <row r="179" spans="1:51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</row>
    <row r="180" spans="1:51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</row>
    <row r="181" spans="1:51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</row>
    <row r="182" spans="1:51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</row>
    <row r="183" spans="1:51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</row>
    <row r="184" spans="1:51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</row>
    <row r="185" spans="1:51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</row>
    <row r="186" spans="1:51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</row>
    <row r="187" spans="1:51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</row>
    <row r="188" spans="1:51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</row>
    <row r="189" spans="1:51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</row>
    <row r="190" spans="1:51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</row>
    <row r="191" spans="1:51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</row>
    <row r="192" spans="1:51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</row>
    <row r="193" spans="1:51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</row>
    <row r="194" spans="1:51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</row>
    <row r="195" spans="1:51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</row>
    <row r="196" spans="1:51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</row>
    <row r="197" spans="1:51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</row>
    <row r="198" spans="1:51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</row>
    <row r="199" spans="1:51" ht="31.5" customHeight="1">
      <c r="A199" s="42"/>
      <c r="B199" s="42"/>
      <c r="C199" s="34"/>
      <c r="D199" s="45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</row>
    <row r="200" spans="1:51" ht="15.75" customHeight="1">
      <c r="A200" s="42"/>
      <c r="B200" s="42"/>
      <c r="C200" s="34"/>
      <c r="D200" s="45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</row>
    <row r="201" spans="1:51" ht="15.75" customHeight="1">
      <c r="A201" s="42"/>
      <c r="B201" s="42"/>
      <c r="C201" s="42"/>
      <c r="D201" s="45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</row>
    <row r="202" spans="1:51" ht="15.75" customHeight="1">
      <c r="A202" s="42"/>
      <c r="B202" s="42"/>
      <c r="C202" s="34"/>
      <c r="D202" s="45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</row>
    <row r="203" spans="1:51" ht="15.75" customHeight="1">
      <c r="A203" s="42"/>
      <c r="B203" s="42"/>
      <c r="C203" s="6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</row>
    <row r="204" spans="1:51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</row>
    <row r="205" spans="1:51" ht="15.75" customHeight="1">
      <c r="A205" s="42"/>
      <c r="B205" s="42"/>
      <c r="C205" s="34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</row>
    <row r="206" spans="1:51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</row>
    <row r="207" spans="1:51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</row>
    <row r="208" spans="1:51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</row>
    <row r="209" spans="1:51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</row>
    <row r="210" spans="1:51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</row>
    <row r="211" spans="1:51" ht="15.75" customHeight="1">
      <c r="A211" s="42"/>
      <c r="B211" s="42"/>
      <c r="C211" s="42" t="s">
        <v>45</v>
      </c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</row>
    <row r="212" spans="1:51" ht="15.75" customHeight="1">
      <c r="A212" s="42"/>
      <c r="B212" s="42"/>
      <c r="C212" s="42" t="s">
        <v>46</v>
      </c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</row>
    <row r="213" spans="1:51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</row>
    <row r="214" spans="1:51" ht="15.75" customHeight="1">
      <c r="A214" s="42"/>
      <c r="B214" s="42"/>
      <c r="C214" s="42" t="s">
        <v>47</v>
      </c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</row>
    <row r="215" spans="1:51" ht="15.75" customHeight="1">
      <c r="A215" s="42"/>
      <c r="B215" s="42"/>
      <c r="C215" s="42" t="s">
        <v>48</v>
      </c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</row>
    <row r="216" spans="1:51" ht="15.75" customHeight="1">
      <c r="A216" s="42"/>
      <c r="B216" s="42"/>
      <c r="C216" s="42" t="s">
        <v>49</v>
      </c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</row>
    <row r="217" spans="1:51" ht="15.75" customHeight="1">
      <c r="A217" s="42"/>
      <c r="B217" s="42"/>
      <c r="C217" s="42" t="s">
        <v>50</v>
      </c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</row>
    <row r="218" spans="1:51" ht="15.75" customHeight="1">
      <c r="A218" s="42"/>
      <c r="B218" s="42"/>
      <c r="C218" s="42" t="s">
        <v>51</v>
      </c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</row>
    <row r="219" spans="1:51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</row>
    <row r="220" spans="1:51" ht="15.75" customHeight="1">
      <c r="A220" s="42"/>
      <c r="B220" s="42"/>
      <c r="C220" s="42" t="s">
        <v>52</v>
      </c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</row>
    <row r="221" spans="1:51" ht="15.75" customHeight="1">
      <c r="A221" s="42"/>
      <c r="B221" s="42"/>
      <c r="C221" s="42" t="s">
        <v>53</v>
      </c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</row>
    <row r="222" spans="1:51" ht="15.75" customHeight="1">
      <c r="A222" s="42"/>
      <c r="B222" s="42"/>
      <c r="C222" s="42" t="s">
        <v>54</v>
      </c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</row>
    <row r="223" spans="1:51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</row>
    <row r="224" spans="1:51" ht="15.75" customHeight="1">
      <c r="A224" s="42"/>
      <c r="B224" s="42"/>
      <c r="C224" s="42" t="s">
        <v>55</v>
      </c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</row>
    <row r="225" spans="1:51" ht="15.75" customHeight="1">
      <c r="A225" s="42"/>
      <c r="B225" s="42"/>
      <c r="C225" s="42" t="s">
        <v>56</v>
      </c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</row>
    <row r="226" spans="1:51" ht="15.75" customHeight="1">
      <c r="A226" s="42"/>
      <c r="B226" s="42"/>
      <c r="C226" s="42" t="s">
        <v>57</v>
      </c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</row>
    <row r="227" spans="1:51" ht="15.75" customHeight="1">
      <c r="A227" s="42"/>
      <c r="B227" s="42"/>
      <c r="C227" s="42" t="s">
        <v>58</v>
      </c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</row>
    <row r="228" spans="1:51" ht="15.75" customHeight="1">
      <c r="A228" s="42"/>
      <c r="B228" s="42"/>
      <c r="C228" s="42" t="s">
        <v>59</v>
      </c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</row>
    <row r="229" spans="1:51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</row>
    <row r="230" spans="1:51" ht="15.75" customHeight="1">
      <c r="A230" s="42"/>
      <c r="B230" s="42"/>
      <c r="C230" s="42" t="s">
        <v>60</v>
      </c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</row>
    <row r="231" spans="1:51" ht="15.75" customHeight="1">
      <c r="A231" s="42"/>
      <c r="B231" s="42"/>
      <c r="C231" s="42" t="s">
        <v>61</v>
      </c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</row>
    <row r="232" spans="1:51" ht="15.75" customHeight="1">
      <c r="A232" s="42"/>
      <c r="B232" s="42"/>
      <c r="C232" s="42" t="s">
        <v>62</v>
      </c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</row>
    <row r="233" spans="1:51" ht="15.75" customHeight="1">
      <c r="A233" s="42"/>
      <c r="B233" s="42"/>
      <c r="C233" s="42" t="s">
        <v>63</v>
      </c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</row>
    <row r="234" spans="1:51" ht="15.75" customHeight="1">
      <c r="A234" s="42"/>
      <c r="B234" s="42"/>
      <c r="C234" s="42" t="s">
        <v>64</v>
      </c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</row>
    <row r="235" spans="1:51" ht="15.75" customHeight="1">
      <c r="A235" s="42"/>
      <c r="B235" s="42"/>
      <c r="C235" s="42" t="s">
        <v>65</v>
      </c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</row>
    <row r="236" spans="1:51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</row>
    <row r="237" spans="1:51" ht="15.75" customHeight="1">
      <c r="A237" s="42"/>
      <c r="B237" s="42"/>
      <c r="C237" s="42" t="s">
        <v>66</v>
      </c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</row>
    <row r="238" spans="1:51" ht="15.75" customHeight="1">
      <c r="A238" s="42"/>
      <c r="B238" s="42"/>
      <c r="C238" s="42" t="s">
        <v>67</v>
      </c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</row>
    <row r="239" spans="1:51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</row>
    <row r="240" spans="1:51" ht="15.75" customHeight="1">
      <c r="A240" s="42"/>
      <c r="B240" s="42"/>
      <c r="C240" s="42" t="s">
        <v>68</v>
      </c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</row>
    <row r="241" spans="1:51" ht="15.75" customHeight="1">
      <c r="A241" s="42"/>
      <c r="B241" s="42"/>
      <c r="C241" s="42" t="s">
        <v>69</v>
      </c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</row>
    <row r="242" spans="1:51" ht="15.75" customHeight="1">
      <c r="A242" s="42"/>
      <c r="B242" s="42"/>
      <c r="C242" s="42" t="s">
        <v>70</v>
      </c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</row>
    <row r="243" spans="1:51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</row>
    <row r="244" spans="1:51" ht="15.75" customHeight="1">
      <c r="A244" s="42"/>
      <c r="B244" s="42"/>
      <c r="C244" s="42" t="s">
        <v>71</v>
      </c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</row>
    <row r="245" spans="1:51" ht="15.75" customHeight="1">
      <c r="A245" s="42"/>
      <c r="B245" s="42"/>
      <c r="C245" s="42" t="s">
        <v>72</v>
      </c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</row>
    <row r="246" spans="1:51" ht="15.75" customHeight="1">
      <c r="A246" s="42"/>
      <c r="B246" s="42"/>
      <c r="C246" s="42" t="s">
        <v>73</v>
      </c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</row>
    <row r="247" spans="1:51" ht="15.75" customHeight="1">
      <c r="A247" s="42"/>
      <c r="B247" s="42"/>
      <c r="C247" s="42" t="s">
        <v>74</v>
      </c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</row>
    <row r="248" spans="1:51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</row>
    <row r="249" spans="1:51" ht="15.75" customHeight="1">
      <c r="A249" s="42"/>
      <c r="B249" s="42"/>
      <c r="C249" s="42" t="s">
        <v>75</v>
      </c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</row>
    <row r="250" spans="1:51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</row>
    <row r="251" spans="1:51" ht="15.75" customHeight="1">
      <c r="A251" s="42"/>
      <c r="B251" s="42"/>
      <c r="C251" s="42" t="s">
        <v>76</v>
      </c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</row>
    <row r="252" spans="1:51" ht="15.75" customHeight="1">
      <c r="A252" s="42"/>
      <c r="B252" s="42"/>
      <c r="C252" s="42" t="s">
        <v>72</v>
      </c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</row>
    <row r="253" spans="1:51" ht="15.75" customHeight="1">
      <c r="A253" s="42"/>
      <c r="B253" s="42"/>
      <c r="C253" s="42" t="s">
        <v>73</v>
      </c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</row>
    <row r="254" spans="1:51" ht="15.75" customHeight="1">
      <c r="A254" s="42"/>
      <c r="B254" s="42"/>
      <c r="C254" s="42" t="s">
        <v>77</v>
      </c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</row>
    <row r="255" spans="1:51" ht="15.75" customHeight="1">
      <c r="A255" s="42"/>
      <c r="B255" s="42"/>
      <c r="C255" s="42" t="s">
        <v>78</v>
      </c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</row>
    <row r="256" spans="1:51" ht="15.75" customHeight="1">
      <c r="A256" s="42"/>
      <c r="B256" s="42"/>
      <c r="C256" s="42" t="s">
        <v>79</v>
      </c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</row>
    <row r="257" spans="1:51" ht="15.75" customHeight="1">
      <c r="A257" s="42"/>
      <c r="B257" s="42"/>
      <c r="C257" s="42" t="s">
        <v>74</v>
      </c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</row>
    <row r="258" spans="1:51" ht="15.75" customHeight="1">
      <c r="A258" s="42"/>
      <c r="B258" s="42"/>
      <c r="C258" s="42" t="s">
        <v>80</v>
      </c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</row>
    <row r="259" spans="1:51" ht="15.75" customHeight="1">
      <c r="A259" s="42"/>
      <c r="B259" s="42"/>
      <c r="C259" s="42" t="s">
        <v>81</v>
      </c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</row>
    <row r="260" spans="1:51" ht="15.75" customHeight="1">
      <c r="A260" s="42"/>
      <c r="B260" s="42"/>
      <c r="C260" s="42" t="s">
        <v>82</v>
      </c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</row>
    <row r="261" spans="1:51" ht="15.75" customHeight="1">
      <c r="A261" s="42"/>
      <c r="B261" s="42"/>
      <c r="C261" s="42" t="s">
        <v>83</v>
      </c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</row>
    <row r="262" spans="1:51" ht="15.75" customHeight="1">
      <c r="A262" s="42"/>
      <c r="B262" s="42"/>
      <c r="C262" s="42" t="s">
        <v>84</v>
      </c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</row>
    <row r="263" spans="1:51" ht="15.75" customHeight="1">
      <c r="A263" s="42"/>
      <c r="B263" s="42"/>
      <c r="C263" s="42" t="s">
        <v>85</v>
      </c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</row>
    <row r="264" spans="1:51" ht="23.25" customHeight="1">
      <c r="A264" s="42"/>
      <c r="B264" s="42"/>
      <c r="C264" s="34" t="s">
        <v>86</v>
      </c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</row>
    <row r="265" spans="1:51" ht="15.75" customHeight="1">
      <c r="A265" s="42"/>
      <c r="B265" s="42"/>
      <c r="C265" s="34" t="s">
        <v>87</v>
      </c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</row>
    <row r="266" spans="1:51" ht="15.75" customHeight="1">
      <c r="A266" s="42"/>
      <c r="B266" s="42"/>
      <c r="C266" s="35" t="s">
        <v>88</v>
      </c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</row>
    <row r="267" spans="1:51" ht="15.75" customHeight="1">
      <c r="A267" s="42"/>
      <c r="B267" s="42"/>
      <c r="C267" s="34" t="s">
        <v>89</v>
      </c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</row>
    <row r="268" spans="1:51" ht="15.75" customHeight="1">
      <c r="A268" s="42"/>
      <c r="B268" s="42"/>
      <c r="C268" s="6" t="s">
        <v>90</v>
      </c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</row>
    <row r="269" spans="1:51" ht="15.75" customHeight="1">
      <c r="A269" s="42"/>
      <c r="B269" s="42"/>
      <c r="C269" s="42" t="s">
        <v>91</v>
      </c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</row>
    <row r="270" spans="1:51" ht="15.75" customHeight="1">
      <c r="A270" s="42"/>
      <c r="B270" s="42"/>
      <c r="C270" s="34" t="s">
        <v>92</v>
      </c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</row>
    <row r="271" spans="1:51" ht="15.75" customHeight="1">
      <c r="A271" s="42"/>
      <c r="B271" s="42"/>
      <c r="C271" s="42" t="s">
        <v>93</v>
      </c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</row>
    <row r="272" spans="1:51" ht="15.75" customHeight="1">
      <c r="A272" s="42"/>
      <c r="B272" s="42"/>
      <c r="C272" s="34" t="s">
        <v>94</v>
      </c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</row>
    <row r="273" spans="1:51" ht="15.75" customHeight="1">
      <c r="A273" s="42"/>
      <c r="B273" s="42"/>
      <c r="C273" s="6" t="s">
        <v>95</v>
      </c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</row>
    <row r="274" spans="1:51" ht="15.75" customHeight="1">
      <c r="A274" s="42"/>
      <c r="B274" s="42"/>
      <c r="C274" s="42" t="s">
        <v>96</v>
      </c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</row>
    <row r="275" spans="1:51" ht="15.75" customHeight="1">
      <c r="A275" s="42"/>
      <c r="B275" s="42"/>
      <c r="C275" s="34" t="s">
        <v>97</v>
      </c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</row>
    <row r="276" spans="1:51" ht="15" customHeight="1">
      <c r="A276" s="42"/>
      <c r="B276" s="42"/>
      <c r="C276" s="35" t="s">
        <v>98</v>
      </c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</row>
    <row r="277" spans="1:51" ht="15.75" customHeight="1">
      <c r="A277" s="42"/>
      <c r="B277" s="42"/>
      <c r="C277" s="42" t="s">
        <v>99</v>
      </c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</row>
    <row r="278" spans="1:51" ht="15.75" customHeight="1">
      <c r="A278" s="42"/>
      <c r="B278" s="42"/>
      <c r="C278" s="42" t="s">
        <v>100</v>
      </c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</row>
    <row r="279" spans="1:51" ht="15.75" customHeight="1">
      <c r="A279" s="42"/>
      <c r="B279" s="42"/>
      <c r="C279" s="42" t="s">
        <v>101</v>
      </c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</row>
    <row r="280" spans="1:51" ht="15.75" customHeight="1">
      <c r="A280" s="42"/>
      <c r="B280" s="42"/>
      <c r="C280" s="42" t="s">
        <v>102</v>
      </c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</row>
    <row r="281" spans="1:51" ht="15.75" customHeight="1">
      <c r="A281" s="42"/>
      <c r="B281" s="42"/>
      <c r="C281" s="42" t="s">
        <v>103</v>
      </c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</row>
    <row r="282" spans="1:51" ht="15.75" customHeight="1">
      <c r="A282" s="42"/>
      <c r="B282" s="42"/>
      <c r="C282" s="42" t="s">
        <v>104</v>
      </c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</row>
    <row r="283" spans="1:51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</row>
    <row r="284" spans="1:51" ht="15.75" customHeight="1">
      <c r="A284" s="42"/>
      <c r="B284" s="42"/>
      <c r="C284" s="42" t="s">
        <v>105</v>
      </c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</row>
    <row r="285" spans="1:51" ht="15.75" customHeight="1">
      <c r="A285" s="42"/>
      <c r="B285" s="42"/>
      <c r="C285" s="42" t="s">
        <v>85</v>
      </c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</row>
    <row r="286" spans="1:51" ht="15.75" customHeight="1">
      <c r="A286" s="42"/>
      <c r="B286" s="42"/>
      <c r="C286" s="42" t="s">
        <v>106</v>
      </c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</row>
    <row r="287" spans="1:51" ht="15.75" customHeight="1">
      <c r="A287" s="42"/>
      <c r="B287" s="42"/>
      <c r="C287" s="42" t="s">
        <v>107</v>
      </c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</row>
    <row r="288" spans="1:51" ht="15.75" customHeight="1">
      <c r="A288" s="42"/>
      <c r="B288" s="42"/>
      <c r="C288" s="42" t="s">
        <v>108</v>
      </c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</row>
    <row r="289" spans="1:51" ht="15.75" customHeight="1">
      <c r="A289" s="42"/>
      <c r="B289" s="42"/>
      <c r="C289" s="42" t="s">
        <v>109</v>
      </c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</row>
    <row r="290" spans="1:51" ht="15.75" customHeight="1">
      <c r="A290" s="42"/>
      <c r="B290" s="42"/>
      <c r="C290" s="42" t="s">
        <v>110</v>
      </c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</row>
    <row r="291" spans="1:5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</row>
    <row r="292" spans="1:51" ht="15.75" customHeight="1">
      <c r="A292" s="42"/>
      <c r="B292" s="42"/>
      <c r="C292" s="42" t="s">
        <v>111</v>
      </c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</row>
    <row r="293" spans="1:51" ht="15.75" customHeight="1">
      <c r="A293" s="42"/>
      <c r="B293" s="42"/>
      <c r="C293" s="42" t="s">
        <v>112</v>
      </c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</row>
    <row r="294" spans="1:51" ht="15.75" customHeight="1">
      <c r="A294" s="42"/>
      <c r="B294" s="42"/>
      <c r="C294" s="42" t="s">
        <v>113</v>
      </c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</row>
    <row r="295" spans="1:51" ht="15.75" customHeight="1">
      <c r="A295" s="42"/>
      <c r="B295" s="42"/>
      <c r="C295" s="42" t="s">
        <v>114</v>
      </c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</row>
    <row r="296" spans="1:51" ht="15.75" customHeight="1">
      <c r="A296" s="42"/>
      <c r="B296" s="42"/>
      <c r="C296" s="42" t="s">
        <v>115</v>
      </c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</row>
    <row r="297" spans="1:51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</row>
    <row r="298" spans="1:51" ht="15.75" customHeight="1">
      <c r="A298" s="42"/>
      <c r="B298" s="42"/>
      <c r="C298" s="42" t="s">
        <v>111</v>
      </c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</row>
    <row r="299" spans="1:51" ht="15.75" customHeight="1">
      <c r="A299" s="42"/>
      <c r="B299" s="42"/>
      <c r="C299" s="42" t="s">
        <v>116</v>
      </c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</row>
    <row r="300" spans="1:51" ht="15.75" customHeight="1">
      <c r="A300" s="42"/>
      <c r="B300" s="42"/>
      <c r="C300" s="42" t="s">
        <v>117</v>
      </c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</row>
    <row r="301" spans="1:51" ht="15.75" customHeight="1">
      <c r="A301" s="42"/>
      <c r="B301" s="42"/>
      <c r="C301" s="42" t="s">
        <v>118</v>
      </c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</row>
    <row r="302" spans="1:51" ht="15.75" customHeight="1">
      <c r="A302" s="42"/>
      <c r="B302" s="42"/>
      <c r="C302" s="42" t="s">
        <v>119</v>
      </c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</row>
    <row r="303" spans="1:51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</row>
    <row r="304" spans="1:51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</row>
    <row r="305" spans="1:51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</row>
    <row r="306" spans="1:51" ht="15.75" customHeight="1"/>
    <row r="307" spans="1:51" ht="15.75" customHeight="1"/>
    <row r="308" spans="1:51" ht="15.75" customHeight="1"/>
    <row r="309" spans="1:51" ht="15.75" customHeight="1"/>
    <row r="310" spans="1:51" ht="15.75" customHeight="1"/>
    <row r="311" spans="1:51" ht="15.75" customHeight="1"/>
    <row r="312" spans="1:51" ht="15.75" customHeight="1"/>
    <row r="313" spans="1:51" ht="15.75" customHeight="1"/>
    <row r="314" spans="1:51" ht="15.75" customHeight="1"/>
    <row r="315" spans="1:51" ht="15.75" customHeight="1"/>
    <row r="316" spans="1:51" ht="15.75" customHeight="1"/>
    <row r="317" spans="1:51" ht="15.75" customHeight="1"/>
    <row r="318" spans="1:51" ht="15.75" customHeight="1"/>
    <row r="319" spans="1:51" ht="15.75" customHeight="1"/>
    <row r="320" spans="1:51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</sheetData>
  <mergeCells count="8">
    <mergeCell ref="Z1:AJ3"/>
    <mergeCell ref="AK1:AT3"/>
    <mergeCell ref="O3:U3"/>
    <mergeCell ref="A1:C3"/>
    <mergeCell ref="D1:J3"/>
    <mergeCell ref="K1:N3"/>
    <mergeCell ref="O1:U2"/>
    <mergeCell ref="V1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01.Cover</vt:lpstr>
      <vt:lpstr>02.Revision_History</vt:lpstr>
      <vt:lpstr>TS.Content</vt:lpstr>
      <vt:lpstr>TS.Overview</vt:lpstr>
      <vt:lpstr>TS.Technical Details</vt:lpstr>
      <vt:lpstr>TS.Screen Layout</vt:lpstr>
      <vt:lpstr>TS.Processing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văn đạt</cp:lastModifiedBy>
  <dcterms:modified xsi:type="dcterms:W3CDTF">2026-04-29T01:22:32Z</dcterms:modified>
</cp:coreProperties>
</file>